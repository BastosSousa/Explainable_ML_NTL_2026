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\germancase\entradas\"/>
    </mc:Choice>
  </mc:AlternateContent>
  <xr:revisionPtr revIDLastSave="0" documentId="8_{389B96FC-304D-4ABB-A53C-70473C3E579F}" xr6:coauthVersionLast="47" xr6:coauthVersionMax="47" xr10:uidLastSave="{00000000-0000-0000-0000-000000000000}"/>
  <bookViews>
    <workbookView xWindow="19090" yWindow="-110" windowWidth="19420" windowHeight="11500" xr2:uid="{9D850EED-67AC-44E0-A734-47A9B59A0544}"/>
  </bookViews>
  <sheets>
    <sheet name="OeffentlicheMarktakteure_Sachse" sheetId="2" r:id="rId1"/>
    <sheet name="2024" sheetId="1" r:id="rId2"/>
  </sheets>
  <definedNames>
    <definedName name="ExternalData_1" localSheetId="0" hidden="1">OeffentlicheMarktakteure_Sachse!$A$1:$Q$34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2" l="1"/>
  <c r="T5" i="2"/>
  <c r="D9" i="1" l="1"/>
  <c r="D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B7FD3-9A7B-4120-81F1-6E61FE4ED2CF}" keepAlive="1" name="Query - OeffentlicheMarktakteure_Sachsen-Anhalt" description="Connection to the 'OeffentlicheMarktakteure_Sachsen-Anhalt' query in the workbook." type="5" refreshedVersion="8" background="1" saveData="1">
    <dbPr connection="Provider=Microsoft.Mashup.OleDb.1;Data Source=$Workbook$;Location=OeffentlicheMarktakteure_Sachsen-Anhalt;Extended Properties=&quot;&quot;" command="SELECT * FROM [OeffentlicheMarktakteure_Sachsen-Anhalt]"/>
  </connection>
</connections>
</file>

<file path=xl/sharedStrings.xml><?xml version="1.0" encoding="utf-8"?>
<sst xmlns="http://schemas.openxmlformats.org/spreadsheetml/2006/main" count="544" uniqueCount="261">
  <si>
    <t>MaStR-Nr.</t>
  </si>
  <si>
    <t>Name des Marktakteurs</t>
  </si>
  <si>
    <t>Marktfunktion</t>
  </si>
  <si>
    <t>Marktrollen</t>
  </si>
  <si>
    <t>Bundesland</t>
  </si>
  <si>
    <t>Postleitzahl</t>
  </si>
  <si>
    <t>Ort</t>
  </si>
  <si>
    <t>Straße</t>
  </si>
  <si>
    <t>Hausnummer</t>
  </si>
  <si>
    <t>Land</t>
  </si>
  <si>
    <t>Registrierungsdatum</t>
  </si>
  <si>
    <t>Datum der letzten Aktualisierung</t>
  </si>
  <si>
    <t>ACER-Code</t>
  </si>
  <si>
    <t>Geschlossenes Verteilernetz</t>
  </si>
  <si>
    <t>Tätigkeitsstatus</t>
  </si>
  <si>
    <t>Tätigkeitsbeginn</t>
  </si>
  <si>
    <t>Tätigkeitsende</t>
  </si>
  <si>
    <t>SNB918620072652</t>
  </si>
  <si>
    <t>ASCANETZ GmbH</t>
  </si>
  <si>
    <t>Stromnetzbetreiber</t>
  </si>
  <si>
    <t>Anschlussnetzbetreiber</t>
  </si>
  <si>
    <t>Sachsen-Anhalt</t>
  </si>
  <si>
    <t>Aschersleben</t>
  </si>
  <si>
    <t>Magdeburger Straße</t>
  </si>
  <si>
    <t>26</t>
  </si>
  <si>
    <t>Deutschland</t>
  </si>
  <si>
    <t/>
  </si>
  <si>
    <t>Nein</t>
  </si>
  <si>
    <t>Aktiv</t>
  </si>
  <si>
    <t>SNB954281375657</t>
  </si>
  <si>
    <t>Dessauer Stromversorgung GmbH</t>
  </si>
  <si>
    <t>Anschlussnetzbetreiber, Bilanzkreisverantwortlicher, Messstellenbetreiber</t>
  </si>
  <si>
    <t>Dessau-Roßlau</t>
  </si>
  <si>
    <t>Albrechtstraße</t>
  </si>
  <si>
    <t>48</t>
  </si>
  <si>
    <t>A00018733.DE</t>
  </si>
  <si>
    <t>SNB955936286892</t>
  </si>
  <si>
    <t>Dow Olefinverbund GmbH</t>
  </si>
  <si>
    <t>Schkopau</t>
  </si>
  <si>
    <t>Straße B</t>
  </si>
  <si>
    <t>13</t>
  </si>
  <si>
    <t>A0004263D.DE</t>
  </si>
  <si>
    <t>Ja</t>
  </si>
  <si>
    <t>Inaktiv</t>
  </si>
  <si>
    <t>SNB982934611074</t>
  </si>
  <si>
    <t>Energieversorgung Halle Netz GmbH</t>
  </si>
  <si>
    <t>Halle</t>
  </si>
  <si>
    <t>Zum Heizkraftwerk</t>
  </si>
  <si>
    <t>12</t>
  </si>
  <si>
    <t>A00015193.DE</t>
  </si>
  <si>
    <t>SNB977374861035</t>
  </si>
  <si>
    <t>Halberstadtwerke GmbH</t>
  </si>
  <si>
    <t>Anschlussnetzbetreiber, Messstellenbetreiber</t>
  </si>
  <si>
    <t>Halberstadt</t>
  </si>
  <si>
    <t>Wehrstedter Straße</t>
  </si>
  <si>
    <t>A00056535.DE</t>
  </si>
  <si>
    <t>SNB982722829230</t>
  </si>
  <si>
    <t>InfraLeuna GmbH</t>
  </si>
  <si>
    <t>Leuna</t>
  </si>
  <si>
    <t>Am Haupttor Bau</t>
  </si>
  <si>
    <t>4310</t>
  </si>
  <si>
    <t>A0005658V.DE</t>
  </si>
  <si>
    <t>SNB971962135690</t>
  </si>
  <si>
    <t>Infrastrukturbetrieb der Stadt Arneburg</t>
  </si>
  <si>
    <t>Arneburg</t>
  </si>
  <si>
    <t>Osterburger Straße</t>
  </si>
  <si>
    <t>1</t>
  </si>
  <si>
    <t>SNB916269213931</t>
  </si>
  <si>
    <t>Mitteldeutsche Netzgesellschaft Strom mbH</t>
  </si>
  <si>
    <t>Kabelsketal</t>
  </si>
  <si>
    <t>Industriestraße</t>
  </si>
  <si>
    <t>10</t>
  </si>
  <si>
    <t>A00019715.DE</t>
  </si>
  <si>
    <t>SNB933459598975</t>
  </si>
  <si>
    <t>Netze Magdeburg GmbH</t>
  </si>
  <si>
    <t>Magdeburg</t>
  </si>
  <si>
    <t>Franckestraße</t>
  </si>
  <si>
    <t>8</t>
  </si>
  <si>
    <t>A0008776S.DE</t>
  </si>
  <si>
    <t>SNB978051166283</t>
  </si>
  <si>
    <t>Netzgesellschaft Bitterfeld-Wolfen mbH</t>
  </si>
  <si>
    <t>Bitterfeld-Wolfen</t>
  </si>
  <si>
    <t>Steinfurther Straße</t>
  </si>
  <si>
    <t>46</t>
  </si>
  <si>
    <t>SNB963995572245</t>
  </si>
  <si>
    <t>REDINET Burgenland GmbH</t>
  </si>
  <si>
    <t>Zeitz</t>
  </si>
  <si>
    <t>Geußnitzer Straße</t>
  </si>
  <si>
    <t>74</t>
  </si>
  <si>
    <t>A0004481B.DE</t>
  </si>
  <si>
    <t>SNB957404386462</t>
  </si>
  <si>
    <t>Stadtwerke - Altm. Gas-, Wasseru.Elektrizitätswerke GmbH Stendal</t>
  </si>
  <si>
    <t>Stendal</t>
  </si>
  <si>
    <t>Rathenower Straße</t>
  </si>
  <si>
    <t>A0002875Y.DE</t>
  </si>
  <si>
    <t>SNB953669866350</t>
  </si>
  <si>
    <t>Stadtwerke Bernburg GmbH</t>
  </si>
  <si>
    <t>Bernburg</t>
  </si>
  <si>
    <t>Mühlstraße</t>
  </si>
  <si>
    <t>14</t>
  </si>
  <si>
    <t>A0002840B.DE</t>
  </si>
  <si>
    <t>SNB919654931526</t>
  </si>
  <si>
    <t>Stadtwerke Blankenburg GmbH</t>
  </si>
  <si>
    <t>Blankenburg</t>
  </si>
  <si>
    <t>Börnecker Straße</t>
  </si>
  <si>
    <t>6</t>
  </si>
  <si>
    <t>A0001058B.DE</t>
  </si>
  <si>
    <t>SNB927160517950</t>
  </si>
  <si>
    <t>Stadtwerke Burg Energienetze GmbH</t>
  </si>
  <si>
    <t>Niegripper Chaussee</t>
  </si>
  <si>
    <t>38 A</t>
  </si>
  <si>
    <t>A00077044.DE</t>
  </si>
  <si>
    <t>SNB959120377328</t>
  </si>
  <si>
    <t>Stadtwerke Haldensleben GmbH</t>
  </si>
  <si>
    <t>Haldensleben</t>
  </si>
  <si>
    <t>Bahnhofstraße</t>
  </si>
  <si>
    <t>A0003440I.DE</t>
  </si>
  <si>
    <t>SNB960729432592</t>
  </si>
  <si>
    <t>Stadtwerke Havelberg GmbH</t>
  </si>
  <si>
    <t>Havelberg</t>
  </si>
  <si>
    <t>Domplatz</t>
  </si>
  <si>
    <t>A00096036.DE</t>
  </si>
  <si>
    <t>SNB944962954653</t>
  </si>
  <si>
    <t>Stadtwerke Hettstedt GmbH</t>
  </si>
  <si>
    <t>Hettstedt</t>
  </si>
  <si>
    <t>Am Mühlgraben</t>
  </si>
  <si>
    <t>2</t>
  </si>
  <si>
    <t>A0000869T.DE</t>
  </si>
  <si>
    <t>SNB946425570127</t>
  </si>
  <si>
    <t>Stadtwerke Lutherstadt Eisleben GmbH</t>
  </si>
  <si>
    <t>Lutherstadt Eisleben</t>
  </si>
  <si>
    <t>Karl-Rühlemann-Platz</t>
  </si>
  <si>
    <t>A00015474.DE</t>
  </si>
  <si>
    <t>SNB932107297727</t>
  </si>
  <si>
    <t>Stadtwerke Lutherstadt Wittenberg GmbH</t>
  </si>
  <si>
    <t>Lutherstadt Wittenberg</t>
  </si>
  <si>
    <t>Lucas-Cranach-Straße</t>
  </si>
  <si>
    <t>22</t>
  </si>
  <si>
    <t>A0002118C.DE</t>
  </si>
  <si>
    <t>SNB913006238462</t>
  </si>
  <si>
    <t>Stadtwerke Merseburg GmbH</t>
  </si>
  <si>
    <t>Merseburg</t>
  </si>
  <si>
    <t>Große Ritterstraße</t>
  </si>
  <si>
    <t>9</t>
  </si>
  <si>
    <t>A00037931.DE</t>
  </si>
  <si>
    <t>SNB970223838288</t>
  </si>
  <si>
    <t>Stadtwerke Quedlinburg GmbH</t>
  </si>
  <si>
    <t>Quedlinburg</t>
  </si>
  <si>
    <t>Rathenaustraße</t>
  </si>
  <si>
    <t>A0005402G.DE</t>
  </si>
  <si>
    <t>SNB922861338965</t>
  </si>
  <si>
    <t>Stadtwerke Sangerhausen GmbH</t>
  </si>
  <si>
    <t>Anschlussnetzbetreiber, Bilanzkreisverantwortlicher</t>
  </si>
  <si>
    <t>Sangerhausen</t>
  </si>
  <si>
    <t>Alban-Hess-Straße</t>
  </si>
  <si>
    <t>29</t>
  </si>
  <si>
    <t>A00008536.DE</t>
  </si>
  <si>
    <t>SNB910474681448</t>
  </si>
  <si>
    <t>Stadtwerke Staßfurt GmbH</t>
  </si>
  <si>
    <t>Staßfurt</t>
  </si>
  <si>
    <t>Athenslebener Weg</t>
  </si>
  <si>
    <t>15</t>
  </si>
  <si>
    <t>A0006835Y.DE</t>
  </si>
  <si>
    <t>SNB933274941888</t>
  </si>
  <si>
    <t>Stadtwerke Weißenfels Energienetze GmbH</t>
  </si>
  <si>
    <t>Weißenfels</t>
  </si>
  <si>
    <t>Südring</t>
  </si>
  <si>
    <t>120</t>
  </si>
  <si>
    <t>SNB914879260819</t>
  </si>
  <si>
    <t>Stadtwerke Wernigerode GmbH</t>
  </si>
  <si>
    <t>Wernigerode</t>
  </si>
  <si>
    <t>Am Kupferhammer</t>
  </si>
  <si>
    <t>38</t>
  </si>
  <si>
    <t>A0001588Y.DE</t>
  </si>
  <si>
    <t>SNB971345683381</t>
  </si>
  <si>
    <t>Stadtwerke Wolmirstedt GmbH</t>
  </si>
  <si>
    <t>Wolmirstedt</t>
  </si>
  <si>
    <t>Samsweger Straße</t>
  </si>
  <si>
    <t>A0006312G.DE</t>
  </si>
  <si>
    <t>SNB918539636471</t>
  </si>
  <si>
    <t>Stromversorgung Zerbst GmbH &amp; Co. KG</t>
  </si>
  <si>
    <t>Zerbst</t>
  </si>
  <si>
    <t>Dessauer Straße</t>
  </si>
  <si>
    <t>76</t>
  </si>
  <si>
    <t>A0008020N.DE</t>
  </si>
  <si>
    <t>SNB978071940108</t>
  </si>
  <si>
    <t>Technische Werke Naumburg GmbH</t>
  </si>
  <si>
    <t>Naumburg</t>
  </si>
  <si>
    <t>Steinkreuzweg</t>
  </si>
  <si>
    <t>A00063457.DE</t>
  </si>
  <si>
    <t>SNB977641826996</t>
  </si>
  <si>
    <t>Verteilnetz Plauen GmbH</t>
  </si>
  <si>
    <t>SNB936461984224</t>
  </si>
  <si>
    <t>Stadtwerke Schönebeck GmbH - SWS -</t>
  </si>
  <si>
    <t>Schönebeck</t>
  </si>
  <si>
    <t>Friedrichstraße</t>
  </si>
  <si>
    <t>117</t>
  </si>
  <si>
    <t>A0006578U.DE</t>
  </si>
  <si>
    <t>SNB974693983233</t>
  </si>
  <si>
    <t>EVIP GmbH</t>
  </si>
  <si>
    <t>Niels-Bohr-Straße</t>
  </si>
  <si>
    <t>SNB919985327685</t>
  </si>
  <si>
    <t>Industrienetzgesellschaft Schkopau mbH</t>
  </si>
  <si>
    <t>Str. B</t>
  </si>
  <si>
    <t>23,354</t>
  </si>
  <si>
    <t>Preis [Ct/kWh]</t>
  </si>
  <si>
    <t>21,961</t>
  </si>
  <si>
    <t>Einwohnerzahl</t>
  </si>
  <si>
    <t>nan</t>
  </si>
  <si>
    <t>21,4966</t>
  </si>
  <si>
    <t>24,447</t>
  </si>
  <si>
    <t>13,88</t>
  </si>
  <si>
    <t>Anzahl der Entnahmestellen jeweils für alle Netz</t>
  </si>
  <si>
    <t>20,490</t>
  </si>
  <si>
    <t>Summe der Netzverluste [kWh]</t>
  </si>
  <si>
    <t>22,469</t>
  </si>
  <si>
    <t>26,6</t>
  </si>
  <si>
    <t>Link</t>
  </si>
  <si>
    <t>https://www.netz-bitterfeld-wolfen.de/veroeffentlichungspflichten-2023-copy/articles/veroeffentlichungspflichten-2024.html</t>
  </si>
  <si>
    <t>www.netze-magdeburg.de</t>
  </si>
  <si>
    <t>www.mitnetz-strom.de</t>
  </si>
  <si>
    <t>www.infraleuna.de</t>
  </si>
  <si>
    <t>www.halberstadtwerke.de</t>
  </si>
  <si>
    <t>www.netzhalle.de</t>
  </si>
  <si>
    <t>www.dvv-dessau.de</t>
  </si>
  <si>
    <t>https://www.ascanetz.de/strom/veroeffentlichungen/</t>
  </si>
  <si>
    <t>https://www.redinet.de/strom/netzinformation</t>
  </si>
  <si>
    <t>4,43</t>
  </si>
  <si>
    <t>https://www.stadtwerke-stendal.de/unsere-veroeffentlichungspflichten</t>
  </si>
  <si>
    <t>18,10</t>
  </si>
  <si>
    <t>https://www.netz.stadtwerke-bernburg.de/strom.html</t>
  </si>
  <si>
    <t>19,673</t>
  </si>
  <si>
    <t>https://swben-burg.de/veroeffentlichungspflichten/</t>
  </si>
  <si>
    <t>https://www.swhdl.de/netz/strom/netzinformation/</t>
  </si>
  <si>
    <t>17,030</t>
  </si>
  <si>
    <t>https://www.stadtwerke-havelberg.de/produkte/strom/struktur-und-netzdaten.html</t>
  </si>
  <si>
    <t>https://stadtwerke-hettstedt-netz.de/stromnetz/netzgebiet/strukturdaten</t>
  </si>
  <si>
    <t>13,287</t>
  </si>
  <si>
    <t>https://www.stadtwerke-wittenberg.de/netze/stromnetz</t>
  </si>
  <si>
    <t>https://netze.sle24.de/stromnetz/veroeffentlichungspflichten/</t>
  </si>
  <si>
    <t>https://www.mitnetz-strom.de/unternehmen/ver%C3%B6ffentlichungspflichten/zahlen-fakten/netzdaten</t>
  </si>
  <si>
    <t>https://www.stadtwerke-quedlinburg.de/netznutzung/stromnetz/veroeffentlichungen</t>
  </si>
  <si>
    <t>8479,8</t>
  </si>
  <si>
    <t>19,03</t>
  </si>
  <si>
    <t>https://www.stadtwerke-stassfurt.de/netz/netzbetrieb/veroeffentlichungen/netzdaten</t>
  </si>
  <si>
    <t>https://www.stadtwerke-sangerhausen.de/netz/stromnetz/struktur-netzdaten</t>
  </si>
  <si>
    <t>https://energienetze-wsf.de/netzbetrieb-strom/kennzahlen#accordion-708-205</t>
  </si>
  <si>
    <t>https://www.stadtwerke-wernigerode.de/netze/stromnetz/netzstrukturdaten.html</t>
  </si>
  <si>
    <t>18,698</t>
  </si>
  <si>
    <t>https://stadtwerke-wolmirstedt.de/kundenservice/informationen/umweltaspekte.html#</t>
  </si>
  <si>
    <t>3250043,25</t>
  </si>
  <si>
    <t>10,80</t>
  </si>
  <si>
    <t>https://www.stadtwerke-zerbst.de/svz/netzstruktur/</t>
  </si>
  <si>
    <t>https://www.twn-naumburg.de/netznutzung/stromnetz/netzdaten</t>
  </si>
  <si>
    <t>https://www.plauen-netz.de/unternehmen/ver%c3%b6ffentlichungspflichten/zahlen-fakten/netzdaten</t>
  </si>
  <si>
    <t>22,291</t>
  </si>
  <si>
    <t>www.stadtwerke-schoenebeck.de</t>
  </si>
  <si>
    <t>www.evip.de</t>
  </si>
  <si>
    <t>https://de.dow.com/de-de/industrienetzgesellschaft.html#tabs-672cb3abd4-item-62198edbfc-tab</t>
  </si>
  <si>
    <t>keiner</t>
  </si>
  <si>
    <t xml:space="preserve"> Burg (Sachsen-Anhalt)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</si>
</sst>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22222"/>
      <name val="Helvetica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horizontal="right"/>
    </xf>
    <xf numFmtId="3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NumberFormat="1" applyFill="1"/>
    <xf numFmtId="0" fontId="0" fillId="5" borderId="0" xfId="0" applyFill="1"/>
    <xf numFmtId="14" fontId="0" fillId="5" borderId="0" xfId="0" applyNumberFormat="1" applyFill="1"/>
    <xf numFmtId="0" fontId="3" fillId="0" borderId="0" xfId="1"/>
    <xf numFmtId="0" fontId="1" fillId="2" borderId="1" xfId="0" applyFont="1" applyFill="1" applyBorder="1" applyAlignment="1">
      <alignment horizontal="left"/>
    </xf>
    <xf numFmtId="0" fontId="0" fillId="3" borderId="1" xfId="0" applyNumberFormat="1" applyFont="1" applyFill="1" applyBorder="1" applyAlignment="1">
      <alignment horizontal="left"/>
    </xf>
    <xf numFmtId="0" fontId="0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horizontal="right"/>
    </xf>
    <xf numFmtId="0" fontId="0" fillId="4" borderId="1" xfId="0" applyNumberFormat="1" applyFont="1" applyFill="1" applyBorder="1" applyAlignment="1">
      <alignment horizontal="left"/>
    </xf>
    <xf numFmtId="1" fontId="0" fillId="4" borderId="0" xfId="0" applyNumberFormat="1" applyFill="1"/>
    <xf numFmtId="0" fontId="0" fillId="6" borderId="1" xfId="0" applyNumberFormat="1" applyFont="1" applyFill="1" applyBorder="1" applyAlignment="1">
      <alignment horizontal="left"/>
    </xf>
    <xf numFmtId="0" fontId="3" fillId="4" borderId="0" xfId="1" applyFill="1"/>
    <xf numFmtId="1" fontId="0" fillId="4" borderId="0" xfId="0" applyNumberFormat="1" applyFill="1" applyAlignment="1">
      <alignment horizontal="right"/>
    </xf>
  </cellXfs>
  <cellStyles count="2">
    <cellStyle name="Hyperlink" xfId="1" builtinId="8"/>
    <cellStyle name="Normal" xfId="0" builtinId="0"/>
  </cellStyles>
  <dxfs count="16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636E27-AAD0-460A-A737-68C44D3AE732}" autoFormatId="16" applyNumberFormats="0" applyBorderFormats="0" applyFontFormats="0" applyPatternFormats="0" applyAlignmentFormats="0" applyWidthHeightFormats="0">
  <queryTableRefresh nextId="18">
    <queryTableFields count="17">
      <queryTableField id="1" name="MaStR-Nr." tableColumnId="1"/>
      <queryTableField id="2" name="Name des Marktakteurs" tableColumnId="2"/>
      <queryTableField id="3" name="Marktfunktion" tableColumnId="3"/>
      <queryTableField id="4" name="Marktrollen" tableColumnId="4"/>
      <queryTableField id="5" name="Bundesland" tableColumnId="5"/>
      <queryTableField id="6" name="Postleitzahl" tableColumnId="6"/>
      <queryTableField id="7" name="Ort" tableColumnId="7"/>
      <queryTableField id="8" name="Straße" tableColumnId="8"/>
      <queryTableField id="9" name="Hausnummer" tableColumnId="9"/>
      <queryTableField id="10" name="Land" tableColumnId="10"/>
      <queryTableField id="11" name="Registrierungsdatum" tableColumnId="11"/>
      <queryTableField id="12" name="Datum der letzten Aktualisierung" tableColumnId="12"/>
      <queryTableField id="13" name="ACER-Code" tableColumnId="13"/>
      <queryTableField id="14" name="Geschlossenes Verteilernetz" tableColumnId="14"/>
      <queryTableField id="15" name="Tätigkeitsstatus" tableColumnId="15"/>
      <queryTableField id="16" name="Tätigkeitsbeginn" tableColumnId="16"/>
      <queryTableField id="17" name="Tätigkeitsend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74157-608E-44E8-A88B-FC9065BBCD4E}" name="OeffentlicheMarktakteure_Sachsen_Anhalt" displayName="OeffentlicheMarktakteure_Sachsen_Anhalt" ref="A1:Q34" tableType="queryTable" totalsRowShown="0">
  <autoFilter ref="A1:Q34" xr:uid="{CD274157-608E-44E8-A88B-FC9065BBCD4E}"/>
  <tableColumns count="17">
    <tableColumn id="1" xr3:uid="{8C448E8D-45C0-4C6D-93E6-1C986450E6A5}" uniqueName="1" name="MaStR-Nr." queryTableFieldId="1" dataDxfId="15"/>
    <tableColumn id="2" xr3:uid="{CCFE8D78-D5CD-4BDA-8F84-EA82C320E019}" uniqueName="2" name="Name des Marktakteurs" queryTableFieldId="2" dataDxfId="14"/>
    <tableColumn id="3" xr3:uid="{C10CE2E9-C9D9-4C09-8E93-2D2CB09F0E6D}" uniqueName="3" name="Marktfunktion" queryTableFieldId="3" dataDxfId="13"/>
    <tableColumn id="4" xr3:uid="{79087285-EF12-46D3-9827-2AFC3AF858FB}" uniqueName="4" name="Marktrollen" queryTableFieldId="4" dataDxfId="12"/>
    <tableColumn id="5" xr3:uid="{A56583FE-0DAA-4C7F-839A-9DA10CAB20F7}" uniqueName="5" name="Bundesland" queryTableFieldId="5" dataDxfId="11"/>
    <tableColumn id="6" xr3:uid="{6B4677EA-6FA4-4053-86D8-1A353A4FCD2E}" uniqueName="6" name="Postleitzahl" queryTableFieldId="6"/>
    <tableColumn id="7" xr3:uid="{D1F9590D-C0D6-403E-B8B1-E29C3CC53782}" uniqueName="7" name="Ort" queryTableFieldId="7" dataDxfId="10"/>
    <tableColumn id="8" xr3:uid="{CCD4D685-D327-4A4A-B5D8-DD907A5A1B73}" uniqueName="8" name="Straße" queryTableFieldId="8" dataDxfId="9"/>
    <tableColumn id="9" xr3:uid="{171F7E51-D9A3-4316-948B-FF986628D0A1}" uniqueName="9" name="Hausnummer" queryTableFieldId="9" dataDxfId="8"/>
    <tableColumn id="10" xr3:uid="{646D13C5-179E-43EA-9547-828CE1C72AE5}" uniqueName="10" name="Land" queryTableFieldId="10" dataDxfId="7"/>
    <tableColumn id="11" xr3:uid="{48E51D75-F977-4402-B88A-E26BB69997E0}" uniqueName="11" name="Registrierungsdatum" queryTableFieldId="11" dataDxfId="6"/>
    <tableColumn id="12" xr3:uid="{88FE717E-B745-4C7B-B371-9C6EB8A31211}" uniqueName="12" name="Datum der letzten Aktualisierung" queryTableFieldId="12" dataDxfId="5"/>
    <tableColumn id="13" xr3:uid="{8E27687A-39E7-46DB-854A-B46A8A597B24}" uniqueName="13" name="ACER-Code" queryTableFieldId="13" dataDxfId="4"/>
    <tableColumn id="14" xr3:uid="{6329F328-9449-49EE-AAB8-87971BBFB837}" uniqueName="14" name="Geschlossenes Verteilernetz" queryTableFieldId="14" dataDxfId="3"/>
    <tableColumn id="15" xr3:uid="{B10D0C5A-89E8-4889-BA15-D5A3C501B456}" uniqueName="15" name="Tätigkeitsstatus" queryTableFieldId="15" dataDxfId="2"/>
    <tableColumn id="16" xr3:uid="{7557B2BF-B09D-4D83-8C1D-A1F9BD9BF260}" uniqueName="16" name="Tätigkeitsbeginn" queryTableFieldId="16" dataDxfId="1"/>
    <tableColumn id="17" xr3:uid="{31A39D93-036A-4131-B280-EB61DC9AC75B}" uniqueName="17" name="Tätigkeitsend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z-bitterfeld-wolfen.de/veroeffentlichungspflichten-2023-copy/articles/veroeffentlichungspflichten-2024.html" TargetMode="External"/><Relationship Id="rId13" Type="http://schemas.openxmlformats.org/officeDocument/2006/relationships/hyperlink" Target="https://www.swhdl.de/netz/strom/netzinformation/" TargetMode="External"/><Relationship Id="rId18" Type="http://schemas.openxmlformats.org/officeDocument/2006/relationships/hyperlink" Target="https://www.mitnetz-strom.de/unternehmen/ver%C3%B6ffentlichungspflichten/zahlen-fakten/netzdaten" TargetMode="External"/><Relationship Id="rId26" Type="http://schemas.openxmlformats.org/officeDocument/2006/relationships/hyperlink" Target="https://www.twn-naumburg.de/netznutzung/stromnetz/netzdaten" TargetMode="External"/><Relationship Id="rId3" Type="http://schemas.openxmlformats.org/officeDocument/2006/relationships/hyperlink" Target="http://www.halberstadtwerke.de/" TargetMode="External"/><Relationship Id="rId21" Type="http://schemas.openxmlformats.org/officeDocument/2006/relationships/hyperlink" Target="https://www.stadtwerke-sangerhausen.de/netz/stromnetz/struktur-netzdaten" TargetMode="External"/><Relationship Id="rId7" Type="http://schemas.openxmlformats.org/officeDocument/2006/relationships/hyperlink" Target="http://www.netze-magdeburg.de/" TargetMode="External"/><Relationship Id="rId12" Type="http://schemas.openxmlformats.org/officeDocument/2006/relationships/hyperlink" Target="https://swben-burg.de/veroeffentlichungspflichten/" TargetMode="External"/><Relationship Id="rId17" Type="http://schemas.openxmlformats.org/officeDocument/2006/relationships/hyperlink" Target="https://netze.sle24.de/stromnetz/veroeffentlichungspflichten/" TargetMode="External"/><Relationship Id="rId25" Type="http://schemas.openxmlformats.org/officeDocument/2006/relationships/hyperlink" Target="https://www.stadtwerke-zerbst.de/svz/netzstruktur/" TargetMode="External"/><Relationship Id="rId2" Type="http://schemas.openxmlformats.org/officeDocument/2006/relationships/hyperlink" Target="http://www.infraleuna.de/" TargetMode="External"/><Relationship Id="rId16" Type="http://schemas.openxmlformats.org/officeDocument/2006/relationships/hyperlink" Target="https://www.stadtwerke-wittenberg.de/netze/stromnetz" TargetMode="External"/><Relationship Id="rId20" Type="http://schemas.openxmlformats.org/officeDocument/2006/relationships/hyperlink" Target="https://www.stadtwerke-stassfurt.de/netz/netzbetrieb/veroeffentlichungen/netzdaten" TargetMode="External"/><Relationship Id="rId29" Type="http://schemas.openxmlformats.org/officeDocument/2006/relationships/hyperlink" Target="http://www.evip.de/" TargetMode="External"/><Relationship Id="rId1" Type="http://schemas.openxmlformats.org/officeDocument/2006/relationships/hyperlink" Target="http://www.mitnetz-strom.de/" TargetMode="External"/><Relationship Id="rId6" Type="http://schemas.openxmlformats.org/officeDocument/2006/relationships/hyperlink" Target="https://www.ascanetz.de/strom/veroeffentlichungen/" TargetMode="External"/><Relationship Id="rId11" Type="http://schemas.openxmlformats.org/officeDocument/2006/relationships/hyperlink" Target="https://www.netz.stadtwerke-bernburg.de/strom.html" TargetMode="External"/><Relationship Id="rId24" Type="http://schemas.openxmlformats.org/officeDocument/2006/relationships/hyperlink" Target="https://stadtwerke-wolmirstedt.de/kundenservice/informationen/umweltaspekte.html" TargetMode="External"/><Relationship Id="rId5" Type="http://schemas.openxmlformats.org/officeDocument/2006/relationships/hyperlink" Target="http://www.dvv-dessau.de/" TargetMode="External"/><Relationship Id="rId15" Type="http://schemas.openxmlformats.org/officeDocument/2006/relationships/hyperlink" Target="https://stadtwerke-hettstedt-netz.de/stromnetz/netzgebiet/strukturdaten" TargetMode="External"/><Relationship Id="rId23" Type="http://schemas.openxmlformats.org/officeDocument/2006/relationships/hyperlink" Target="https://www.stadtwerke-wernigerode.de/netze/stromnetz/netzstrukturdaten.html" TargetMode="External"/><Relationship Id="rId28" Type="http://schemas.openxmlformats.org/officeDocument/2006/relationships/hyperlink" Target="http://www.stadtwerke-schoenebeck.de/" TargetMode="External"/><Relationship Id="rId10" Type="http://schemas.openxmlformats.org/officeDocument/2006/relationships/hyperlink" Target="https://www.stadtwerke-stendal.de/unsere-veroeffentlichungspflichten" TargetMode="External"/><Relationship Id="rId19" Type="http://schemas.openxmlformats.org/officeDocument/2006/relationships/hyperlink" Target="https://www.stadtwerke-quedlinburg.de/netznutzung/stromnetz/veroeffentlichungen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www.netzhalle.de/" TargetMode="External"/><Relationship Id="rId9" Type="http://schemas.openxmlformats.org/officeDocument/2006/relationships/hyperlink" Target="https://www.redinet.de/strom/netzinformation" TargetMode="External"/><Relationship Id="rId14" Type="http://schemas.openxmlformats.org/officeDocument/2006/relationships/hyperlink" Target="https://www.stadtwerke-havelberg.de/produkte/strom/struktur-und-netzdaten.html" TargetMode="External"/><Relationship Id="rId22" Type="http://schemas.openxmlformats.org/officeDocument/2006/relationships/hyperlink" Target="https://energienetze-wsf.de/netzbetrieb-strom/kennzahlen" TargetMode="External"/><Relationship Id="rId27" Type="http://schemas.openxmlformats.org/officeDocument/2006/relationships/hyperlink" Target="https://www.plauen-netz.de/unternehmen/ver%c3%b6ffentlichungspflichten/zahlen-fakten/netzdaten" TargetMode="External"/><Relationship Id="rId30" Type="http://schemas.openxmlformats.org/officeDocument/2006/relationships/hyperlink" Target="https://de.dow.com/de-de/industrienetzgesellschaf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8B8E-7EF0-4CF2-94B4-0424A4092C56}">
  <dimension ref="A1:U34"/>
  <sheetViews>
    <sheetView tabSelected="1" topLeftCell="C1" workbookViewId="0">
      <selection activeCell="G16" sqref="G16"/>
    </sheetView>
  </sheetViews>
  <sheetFormatPr defaultRowHeight="14.5" x14ac:dyDescent="0.35"/>
  <cols>
    <col min="1" max="1" width="16.7265625" bestFit="1" customWidth="1"/>
    <col min="2" max="2" width="60.453125" bestFit="1" customWidth="1"/>
    <col min="3" max="3" width="17.81640625" bestFit="1" customWidth="1"/>
    <col min="4" max="4" width="67.81640625" bestFit="1" customWidth="1"/>
    <col min="5" max="5" width="15" bestFit="1" customWidth="1"/>
    <col min="6" max="6" width="13.81640625" bestFit="1" customWidth="1"/>
    <col min="7" max="7" width="21" bestFit="1" customWidth="1"/>
    <col min="8" max="8" width="20.7265625" bestFit="1" customWidth="1"/>
    <col min="9" max="9" width="15.54296875" bestFit="1" customWidth="1"/>
    <col min="10" max="10" width="12.1796875" bestFit="1" customWidth="1"/>
    <col min="11" max="11" width="22.453125" bestFit="1" customWidth="1"/>
    <col min="12" max="12" width="33.453125" bestFit="1" customWidth="1"/>
    <col min="13" max="13" width="13.81640625" bestFit="1" customWidth="1"/>
    <col min="14" max="14" width="29.81640625" bestFit="1" customWidth="1"/>
    <col min="15" max="15" width="17.7265625" bestFit="1" customWidth="1"/>
    <col min="16" max="16" width="18.26953125" bestFit="1" customWidth="1"/>
    <col min="17" max="17" width="16.7265625" bestFit="1" customWidth="1"/>
    <col min="18" max="18" width="27" style="6" customWidth="1"/>
    <col min="19" max="19" width="14.54296875" customWidth="1"/>
    <col min="20" max="20" width="18.08984375" customWidth="1"/>
    <col min="21" max="21" width="15.7265625" style="7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214</v>
      </c>
      <c r="S1" s="3" t="s">
        <v>205</v>
      </c>
      <c r="T1" t="s">
        <v>212</v>
      </c>
      <c r="U1" s="7" t="s">
        <v>207</v>
      </c>
    </row>
    <row r="2" spans="1:21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>
        <v>6449</v>
      </c>
      <c r="G2" s="8" t="s">
        <v>22</v>
      </c>
      <c r="H2" s="1" t="s">
        <v>23</v>
      </c>
      <c r="I2" s="1" t="s">
        <v>24</v>
      </c>
      <c r="J2" s="1" t="s">
        <v>25</v>
      </c>
      <c r="K2" s="2">
        <v>42879</v>
      </c>
      <c r="L2" s="2">
        <v>45575</v>
      </c>
      <c r="M2" s="1" t="s">
        <v>26</v>
      </c>
      <c r="N2" s="1" t="s">
        <v>27</v>
      </c>
      <c r="O2" s="1" t="s">
        <v>28</v>
      </c>
      <c r="P2" s="2">
        <v>39083</v>
      </c>
      <c r="Q2" s="2"/>
      <c r="R2" s="6">
        <v>3257928</v>
      </c>
      <c r="S2" s="4" t="s">
        <v>204</v>
      </c>
      <c r="T2" s="4">
        <v>6971</v>
      </c>
      <c r="U2" s="6">
        <v>22392</v>
      </c>
    </row>
    <row r="3" spans="1:21" x14ac:dyDescent="0.35">
      <c r="A3" s="1" t="s">
        <v>29</v>
      </c>
      <c r="B3" s="1" t="s">
        <v>30</v>
      </c>
      <c r="C3" s="1" t="s">
        <v>19</v>
      </c>
      <c r="D3" s="1" t="s">
        <v>31</v>
      </c>
      <c r="E3" s="1" t="s">
        <v>21</v>
      </c>
      <c r="F3">
        <v>6844</v>
      </c>
      <c r="G3" s="8" t="s">
        <v>32</v>
      </c>
      <c r="H3" s="1" t="s">
        <v>33</v>
      </c>
      <c r="I3" s="1" t="s">
        <v>34</v>
      </c>
      <c r="J3" s="1" t="s">
        <v>25</v>
      </c>
      <c r="K3" s="2">
        <v>42906</v>
      </c>
      <c r="L3" s="2">
        <v>43453</v>
      </c>
      <c r="M3" s="1" t="s">
        <v>35</v>
      </c>
      <c r="N3" s="1" t="s">
        <v>27</v>
      </c>
      <c r="O3" s="1" t="s">
        <v>28</v>
      </c>
      <c r="P3" s="2">
        <v>34700</v>
      </c>
      <c r="Q3" s="2"/>
      <c r="R3" s="6">
        <v>14891433</v>
      </c>
      <c r="S3" s="4" t="s">
        <v>206</v>
      </c>
      <c r="T3" s="6">
        <v>57444</v>
      </c>
      <c r="U3" s="6">
        <v>79698</v>
      </c>
    </row>
    <row r="4" spans="1:21" s="12" customFormat="1" x14ac:dyDescent="0.35">
      <c r="A4" s="11" t="s">
        <v>36</v>
      </c>
      <c r="B4" s="11" t="s">
        <v>37</v>
      </c>
      <c r="C4" s="11" t="s">
        <v>19</v>
      </c>
      <c r="D4" s="11" t="s">
        <v>20</v>
      </c>
      <c r="E4" s="11" t="s">
        <v>21</v>
      </c>
      <c r="F4" s="12">
        <v>6258</v>
      </c>
      <c r="G4" s="8" t="s">
        <v>38</v>
      </c>
      <c r="H4" s="11" t="s">
        <v>39</v>
      </c>
      <c r="I4" s="11" t="s">
        <v>40</v>
      </c>
      <c r="J4" s="11" t="s">
        <v>25</v>
      </c>
      <c r="K4" s="13">
        <v>42905</v>
      </c>
      <c r="L4" s="13">
        <v>45908</v>
      </c>
      <c r="M4" s="11" t="s">
        <v>41</v>
      </c>
      <c r="N4" s="11" t="s">
        <v>42</v>
      </c>
      <c r="O4" s="11" t="s">
        <v>43</v>
      </c>
      <c r="P4" s="13">
        <v>40909</v>
      </c>
      <c r="Q4" s="13">
        <v>44196</v>
      </c>
      <c r="R4" s="6" t="s">
        <v>208</v>
      </c>
      <c r="S4" s="4" t="s">
        <v>208</v>
      </c>
      <c r="T4" s="4" t="s">
        <v>208</v>
      </c>
      <c r="U4" s="6" t="s">
        <v>208</v>
      </c>
    </row>
    <row r="5" spans="1:21" x14ac:dyDescent="0.35">
      <c r="A5" s="1" t="s">
        <v>44</v>
      </c>
      <c r="B5" s="1" t="s">
        <v>45</v>
      </c>
      <c r="C5" s="1" t="s">
        <v>19</v>
      </c>
      <c r="D5" s="1" t="s">
        <v>31</v>
      </c>
      <c r="E5" s="1" t="s">
        <v>21</v>
      </c>
      <c r="F5">
        <v>6112</v>
      </c>
      <c r="G5" s="8" t="s">
        <v>46</v>
      </c>
      <c r="H5" s="1" t="s">
        <v>47</v>
      </c>
      <c r="I5" s="1" t="s">
        <v>48</v>
      </c>
      <c r="J5" s="1" t="s">
        <v>25</v>
      </c>
      <c r="K5" s="2">
        <v>42900</v>
      </c>
      <c r="L5" s="2">
        <v>44428</v>
      </c>
      <c r="M5" s="1" t="s">
        <v>49</v>
      </c>
      <c r="N5" s="1" t="s">
        <v>27</v>
      </c>
      <c r="O5" s="1" t="s">
        <v>28</v>
      </c>
      <c r="P5" s="2">
        <v>39083</v>
      </c>
      <c r="Q5" s="2"/>
      <c r="R5" s="6">
        <v>29666071</v>
      </c>
      <c r="S5" s="4" t="s">
        <v>209</v>
      </c>
      <c r="T5">
        <f>171724+295+6</f>
        <v>172025</v>
      </c>
      <c r="U5" s="7">
        <v>226767</v>
      </c>
    </row>
    <row r="6" spans="1:21" x14ac:dyDescent="0.35">
      <c r="A6" s="1" t="s">
        <v>50</v>
      </c>
      <c r="B6" s="1" t="s">
        <v>51</v>
      </c>
      <c r="C6" s="1" t="s">
        <v>19</v>
      </c>
      <c r="D6" s="1" t="s">
        <v>52</v>
      </c>
      <c r="E6" s="1" t="s">
        <v>21</v>
      </c>
      <c r="F6">
        <v>38820</v>
      </c>
      <c r="G6" s="8" t="s">
        <v>53</v>
      </c>
      <c r="H6" s="1" t="s">
        <v>54</v>
      </c>
      <c r="I6" s="1" t="s">
        <v>34</v>
      </c>
      <c r="J6" s="1" t="s">
        <v>25</v>
      </c>
      <c r="K6" s="2">
        <v>42887</v>
      </c>
      <c r="L6" s="2">
        <v>45540</v>
      </c>
      <c r="M6" s="1" t="s">
        <v>55</v>
      </c>
      <c r="N6" s="1" t="s">
        <v>27</v>
      </c>
      <c r="O6" s="1" t="s">
        <v>28</v>
      </c>
      <c r="P6" s="2">
        <v>33612</v>
      </c>
      <c r="Q6" s="2"/>
      <c r="R6" s="6">
        <v>7090223</v>
      </c>
      <c r="S6" s="5" t="s">
        <v>210</v>
      </c>
      <c r="T6">
        <v>29395</v>
      </c>
      <c r="U6" s="7">
        <v>40908</v>
      </c>
    </row>
    <row r="7" spans="1:21" s="9" customFormat="1" x14ac:dyDescent="0.35">
      <c r="A7" s="8" t="s">
        <v>56</v>
      </c>
      <c r="B7" s="8" t="s">
        <v>57</v>
      </c>
      <c r="C7" s="8" t="s">
        <v>19</v>
      </c>
      <c r="D7" s="8" t="s">
        <v>52</v>
      </c>
      <c r="E7" s="8" t="s">
        <v>21</v>
      </c>
      <c r="F7" s="9">
        <v>6237</v>
      </c>
      <c r="G7" s="8" t="s">
        <v>58</v>
      </c>
      <c r="H7" s="8" t="s">
        <v>59</v>
      </c>
      <c r="I7" s="8" t="s">
        <v>60</v>
      </c>
      <c r="J7" s="8" t="s">
        <v>25</v>
      </c>
      <c r="K7" s="10">
        <v>42913</v>
      </c>
      <c r="L7" s="10">
        <v>43453</v>
      </c>
      <c r="M7" s="8" t="s">
        <v>61</v>
      </c>
      <c r="N7" s="8" t="s">
        <v>27</v>
      </c>
      <c r="O7" s="8" t="s">
        <v>28</v>
      </c>
      <c r="P7" s="10">
        <v>35065</v>
      </c>
      <c r="Q7" s="10"/>
      <c r="R7" s="6">
        <v>9048240</v>
      </c>
      <c r="S7" s="4" t="s">
        <v>211</v>
      </c>
      <c r="U7" s="7">
        <v>14131</v>
      </c>
    </row>
    <row r="8" spans="1:21" s="9" customFormat="1" ht="14.25" customHeight="1" x14ac:dyDescent="0.35">
      <c r="A8" s="8" t="s">
        <v>62</v>
      </c>
      <c r="B8" s="8" t="s">
        <v>63</v>
      </c>
      <c r="C8" s="8" t="s">
        <v>19</v>
      </c>
      <c r="D8" s="8" t="s">
        <v>20</v>
      </c>
      <c r="E8" s="8" t="s">
        <v>21</v>
      </c>
      <c r="F8" s="9">
        <v>39596</v>
      </c>
      <c r="G8" s="8" t="s">
        <v>64</v>
      </c>
      <c r="H8" s="8" t="s">
        <v>65</v>
      </c>
      <c r="I8" s="8" t="s">
        <v>66</v>
      </c>
      <c r="J8" s="8" t="s">
        <v>25</v>
      </c>
      <c r="K8" s="10">
        <v>42912</v>
      </c>
      <c r="L8" s="10">
        <v>43453</v>
      </c>
      <c r="M8" s="8" t="s">
        <v>26</v>
      </c>
      <c r="N8" s="8" t="s">
        <v>27</v>
      </c>
      <c r="O8" s="8" t="s">
        <v>28</v>
      </c>
      <c r="P8" s="10">
        <v>39777</v>
      </c>
      <c r="Q8" s="10"/>
      <c r="R8" s="24"/>
      <c r="U8" s="21"/>
    </row>
    <row r="9" spans="1:21" x14ac:dyDescent="0.35">
      <c r="A9" s="1" t="s">
        <v>67</v>
      </c>
      <c r="B9" s="1" t="s">
        <v>68</v>
      </c>
      <c r="C9" s="1" t="s">
        <v>19</v>
      </c>
      <c r="D9" s="1" t="s">
        <v>31</v>
      </c>
      <c r="E9" s="1" t="s">
        <v>21</v>
      </c>
      <c r="F9">
        <v>6184</v>
      </c>
      <c r="G9" s="8" t="s">
        <v>69</v>
      </c>
      <c r="H9" s="1" t="s">
        <v>70</v>
      </c>
      <c r="I9" s="1" t="s">
        <v>71</v>
      </c>
      <c r="J9" s="1" t="s">
        <v>25</v>
      </c>
      <c r="K9" s="2">
        <v>42879</v>
      </c>
      <c r="L9" s="2">
        <v>44746</v>
      </c>
      <c r="M9" s="1" t="s">
        <v>72</v>
      </c>
      <c r="N9" s="1" t="s">
        <v>27</v>
      </c>
      <c r="O9" s="1" t="s">
        <v>28</v>
      </c>
      <c r="P9" s="2">
        <v>38353</v>
      </c>
      <c r="Q9" s="2"/>
      <c r="R9" s="6">
        <v>889000000</v>
      </c>
      <c r="S9" s="4" t="s">
        <v>213</v>
      </c>
      <c r="T9">
        <f>1555045</f>
        <v>1555045</v>
      </c>
      <c r="U9" s="7">
        <v>2153237</v>
      </c>
    </row>
    <row r="10" spans="1:21" x14ac:dyDescent="0.35">
      <c r="A10" s="1" t="s">
        <v>73</v>
      </c>
      <c r="B10" s="1" t="s">
        <v>74</v>
      </c>
      <c r="C10" s="1" t="s">
        <v>19</v>
      </c>
      <c r="D10" s="1" t="s">
        <v>31</v>
      </c>
      <c r="E10" s="1" t="s">
        <v>21</v>
      </c>
      <c r="F10">
        <v>39104</v>
      </c>
      <c r="G10" s="8" t="s">
        <v>75</v>
      </c>
      <c r="H10" s="1" t="s">
        <v>76</v>
      </c>
      <c r="I10" s="1" t="s">
        <v>77</v>
      </c>
      <c r="J10" s="1" t="s">
        <v>25</v>
      </c>
      <c r="K10" s="2">
        <v>42873</v>
      </c>
      <c r="L10" s="2">
        <v>45509</v>
      </c>
      <c r="M10" s="1" t="s">
        <v>78</v>
      </c>
      <c r="N10" s="1" t="s">
        <v>27</v>
      </c>
      <c r="O10" s="1" t="s">
        <v>28</v>
      </c>
      <c r="P10" s="2">
        <v>39083</v>
      </c>
      <c r="Q10" s="2"/>
      <c r="R10" s="6">
        <v>45200000</v>
      </c>
      <c r="S10" s="4" t="s">
        <v>215</v>
      </c>
      <c r="T10">
        <v>170457</v>
      </c>
      <c r="U10" s="7">
        <v>248820</v>
      </c>
    </row>
    <row r="11" spans="1:21" x14ac:dyDescent="0.35">
      <c r="A11" s="1" t="s">
        <v>79</v>
      </c>
      <c r="B11" s="1" t="s">
        <v>80</v>
      </c>
      <c r="C11" s="1" t="s">
        <v>19</v>
      </c>
      <c r="D11" s="1" t="s">
        <v>52</v>
      </c>
      <c r="E11" s="1" t="s">
        <v>21</v>
      </c>
      <c r="F11">
        <v>6766</v>
      </c>
      <c r="G11" s="8" t="s">
        <v>81</v>
      </c>
      <c r="H11" s="1" t="s">
        <v>82</v>
      </c>
      <c r="I11" s="1" t="s">
        <v>83</v>
      </c>
      <c r="J11" s="1" t="s">
        <v>25</v>
      </c>
      <c r="K11" s="2">
        <v>42916</v>
      </c>
      <c r="L11" s="2">
        <v>45057</v>
      </c>
      <c r="M11" s="1" t="s">
        <v>26</v>
      </c>
      <c r="N11" s="1" t="s">
        <v>27</v>
      </c>
      <c r="O11" s="1" t="s">
        <v>28</v>
      </c>
      <c r="P11" s="2">
        <v>38718</v>
      </c>
      <c r="Q11" s="2"/>
      <c r="R11" s="6">
        <v>1898998</v>
      </c>
      <c r="S11" s="4" t="s">
        <v>216</v>
      </c>
      <c r="T11">
        <v>12044</v>
      </c>
      <c r="U11" s="7">
        <v>38316</v>
      </c>
    </row>
    <row r="12" spans="1:21" x14ac:dyDescent="0.35">
      <c r="A12" s="1" t="s">
        <v>84</v>
      </c>
      <c r="B12" s="1" t="s">
        <v>85</v>
      </c>
      <c r="C12" s="1" t="s">
        <v>19</v>
      </c>
      <c r="D12" s="1" t="s">
        <v>52</v>
      </c>
      <c r="E12" s="1" t="s">
        <v>21</v>
      </c>
      <c r="F12">
        <v>6712</v>
      </c>
      <c r="G12" s="8" t="s">
        <v>86</v>
      </c>
      <c r="H12" s="1" t="s">
        <v>87</v>
      </c>
      <c r="I12" s="1" t="s">
        <v>88</v>
      </c>
      <c r="J12" s="1" t="s">
        <v>25</v>
      </c>
      <c r="K12" s="2">
        <v>42874</v>
      </c>
      <c r="L12" s="2">
        <v>45770</v>
      </c>
      <c r="M12" s="1" t="s">
        <v>89</v>
      </c>
      <c r="N12" s="1" t="s">
        <v>27</v>
      </c>
      <c r="O12" s="1" t="s">
        <v>28</v>
      </c>
      <c r="P12" s="2">
        <v>39083</v>
      </c>
      <c r="Q12" s="2"/>
      <c r="R12" s="6">
        <v>3453717</v>
      </c>
      <c r="S12" s="4" t="s">
        <v>204</v>
      </c>
      <c r="T12">
        <v>21682</v>
      </c>
      <c r="U12" s="7">
        <v>29940</v>
      </c>
    </row>
    <row r="13" spans="1:21" x14ac:dyDescent="0.35">
      <c r="A13" s="1" t="s">
        <v>90</v>
      </c>
      <c r="B13" s="1" t="s">
        <v>91</v>
      </c>
      <c r="C13" s="1" t="s">
        <v>19</v>
      </c>
      <c r="D13" s="1" t="s">
        <v>20</v>
      </c>
      <c r="E13" s="1" t="s">
        <v>21</v>
      </c>
      <c r="F13">
        <v>39576</v>
      </c>
      <c r="G13" s="8" t="s">
        <v>92</v>
      </c>
      <c r="H13" s="1" t="s">
        <v>93</v>
      </c>
      <c r="I13" s="1" t="s">
        <v>66</v>
      </c>
      <c r="J13" s="1" t="s">
        <v>25</v>
      </c>
      <c r="K13" s="2">
        <v>42872</v>
      </c>
      <c r="L13" s="2">
        <v>45903</v>
      </c>
      <c r="M13" s="1" t="s">
        <v>94</v>
      </c>
      <c r="N13" s="1" t="s">
        <v>27</v>
      </c>
      <c r="O13" s="1" t="s">
        <v>28</v>
      </c>
      <c r="P13" s="2">
        <v>36526</v>
      </c>
      <c r="Q13" s="2"/>
      <c r="R13" s="6">
        <v>4315034</v>
      </c>
      <c r="S13" s="4" t="s">
        <v>227</v>
      </c>
      <c r="T13">
        <v>23362</v>
      </c>
      <c r="U13" s="7">
        <v>32869</v>
      </c>
    </row>
    <row r="14" spans="1:21" x14ac:dyDescent="0.35">
      <c r="A14" s="1" t="s">
        <v>95</v>
      </c>
      <c r="B14" s="1" t="s">
        <v>96</v>
      </c>
      <c r="C14" s="1" t="s">
        <v>19</v>
      </c>
      <c r="D14" s="1" t="s">
        <v>52</v>
      </c>
      <c r="E14" s="1" t="s">
        <v>21</v>
      </c>
      <c r="F14">
        <v>6406</v>
      </c>
      <c r="G14" s="8" t="s">
        <v>97</v>
      </c>
      <c r="H14" s="1" t="s">
        <v>98</v>
      </c>
      <c r="I14" s="1" t="s">
        <v>99</v>
      </c>
      <c r="J14" s="1" t="s">
        <v>25</v>
      </c>
      <c r="K14" s="2">
        <v>42900</v>
      </c>
      <c r="L14" s="2">
        <v>45910</v>
      </c>
      <c r="M14" s="1" t="s">
        <v>100</v>
      </c>
      <c r="N14" s="1" t="s">
        <v>27</v>
      </c>
      <c r="O14" s="1" t="s">
        <v>28</v>
      </c>
      <c r="P14" s="2">
        <v>42899</v>
      </c>
      <c r="Q14" s="2"/>
      <c r="R14" s="6">
        <v>30117854</v>
      </c>
      <c r="S14" s="4" t="s">
        <v>229</v>
      </c>
      <c r="T14">
        <v>22065</v>
      </c>
      <c r="U14" s="7">
        <v>33369</v>
      </c>
    </row>
    <row r="15" spans="1:21" x14ac:dyDescent="0.35">
      <c r="A15" s="1" t="s">
        <v>101</v>
      </c>
      <c r="B15" s="1" t="s">
        <v>102</v>
      </c>
      <c r="C15" s="1" t="s">
        <v>19</v>
      </c>
      <c r="D15" s="1" t="s">
        <v>20</v>
      </c>
      <c r="E15" s="1" t="s">
        <v>21</v>
      </c>
      <c r="F15">
        <v>38889</v>
      </c>
      <c r="G15" s="8" t="s">
        <v>103</v>
      </c>
      <c r="H15" s="1" t="s">
        <v>104</v>
      </c>
      <c r="I15" s="1" t="s">
        <v>105</v>
      </c>
      <c r="J15" s="1" t="s">
        <v>25</v>
      </c>
      <c r="K15" s="2">
        <v>42894</v>
      </c>
      <c r="L15" s="2">
        <v>44806</v>
      </c>
      <c r="M15" s="1" t="s">
        <v>106</v>
      </c>
      <c r="N15" s="1" t="s">
        <v>27</v>
      </c>
      <c r="O15" s="1" t="s">
        <v>28</v>
      </c>
      <c r="P15" s="2">
        <v>39264</v>
      </c>
      <c r="Q15" s="2"/>
      <c r="R15" s="24"/>
      <c r="S15" s="9"/>
      <c r="T15" s="9"/>
      <c r="U15" s="21"/>
    </row>
    <row r="16" spans="1:21" x14ac:dyDescent="0.35">
      <c r="A16" s="1" t="s">
        <v>107</v>
      </c>
      <c r="B16" s="1" t="s">
        <v>108</v>
      </c>
      <c r="C16" s="1" t="s">
        <v>19</v>
      </c>
      <c r="D16" s="1" t="s">
        <v>31</v>
      </c>
      <c r="E16" s="1" t="s">
        <v>21</v>
      </c>
      <c r="F16">
        <v>39288</v>
      </c>
      <c r="G16" s="8" t="s">
        <v>260</v>
      </c>
      <c r="H16" s="1" t="s">
        <v>109</v>
      </c>
      <c r="I16" s="1" t="s">
        <v>110</v>
      </c>
      <c r="J16" s="1" t="s">
        <v>25</v>
      </c>
      <c r="K16" s="2">
        <v>42884</v>
      </c>
      <c r="L16" s="2">
        <v>45735</v>
      </c>
      <c r="M16" s="1" t="s">
        <v>111</v>
      </c>
      <c r="N16" s="1" t="s">
        <v>27</v>
      </c>
      <c r="O16" s="1" t="s">
        <v>28</v>
      </c>
      <c r="P16" s="2">
        <v>39083</v>
      </c>
      <c r="Q16" s="2"/>
      <c r="R16" s="6">
        <v>6217391</v>
      </c>
      <c r="S16" s="4" t="s">
        <v>231</v>
      </c>
      <c r="T16">
        <v>17247</v>
      </c>
      <c r="U16" s="7">
        <v>23771</v>
      </c>
    </row>
    <row r="17" spans="1:21" x14ac:dyDescent="0.35">
      <c r="A17" s="1" t="s">
        <v>112</v>
      </c>
      <c r="B17" s="1" t="s">
        <v>113</v>
      </c>
      <c r="C17" s="1" t="s">
        <v>19</v>
      </c>
      <c r="D17" s="1" t="s">
        <v>20</v>
      </c>
      <c r="E17" s="1" t="s">
        <v>21</v>
      </c>
      <c r="F17">
        <v>39340</v>
      </c>
      <c r="G17" s="8" t="s">
        <v>114</v>
      </c>
      <c r="H17" s="1" t="s">
        <v>115</v>
      </c>
      <c r="I17" s="1" t="s">
        <v>66</v>
      </c>
      <c r="J17" s="1" t="s">
        <v>25</v>
      </c>
      <c r="K17" s="2">
        <v>42871</v>
      </c>
      <c r="L17" s="2">
        <v>43453</v>
      </c>
      <c r="M17" s="1" t="s">
        <v>116</v>
      </c>
      <c r="N17" s="1" t="s">
        <v>27</v>
      </c>
      <c r="O17" s="1" t="s">
        <v>28</v>
      </c>
      <c r="P17" s="2">
        <v>34700</v>
      </c>
      <c r="Q17" s="2"/>
      <c r="R17" s="6">
        <v>4230114</v>
      </c>
      <c r="S17" s="4" t="s">
        <v>234</v>
      </c>
      <c r="T17">
        <v>4895</v>
      </c>
      <c r="U17" s="7">
        <v>18747</v>
      </c>
    </row>
    <row r="18" spans="1:21" x14ac:dyDescent="0.35">
      <c r="A18" s="1" t="s">
        <v>117</v>
      </c>
      <c r="B18" s="1" t="s">
        <v>118</v>
      </c>
      <c r="C18" s="1" t="s">
        <v>19</v>
      </c>
      <c r="D18" s="1" t="s">
        <v>52</v>
      </c>
      <c r="E18" s="1" t="s">
        <v>21</v>
      </c>
      <c r="F18">
        <v>39539</v>
      </c>
      <c r="G18" s="8" t="s">
        <v>119</v>
      </c>
      <c r="H18" s="1" t="s">
        <v>120</v>
      </c>
      <c r="I18" s="1" t="s">
        <v>66</v>
      </c>
      <c r="J18" s="1" t="s">
        <v>25</v>
      </c>
      <c r="K18" s="2">
        <v>42873</v>
      </c>
      <c r="L18" s="2">
        <v>45526</v>
      </c>
      <c r="M18" s="1" t="s">
        <v>121</v>
      </c>
      <c r="N18" s="1" t="s">
        <v>27</v>
      </c>
      <c r="O18" s="1" t="s">
        <v>28</v>
      </c>
      <c r="P18" s="2">
        <v>33147</v>
      </c>
      <c r="Q18" s="2"/>
      <c r="R18" s="6">
        <v>1283994</v>
      </c>
      <c r="S18" s="9"/>
      <c r="T18">
        <v>4226</v>
      </c>
      <c r="U18" s="7">
        <v>5133</v>
      </c>
    </row>
    <row r="19" spans="1:21" x14ac:dyDescent="0.35">
      <c r="A19" s="1" t="s">
        <v>122</v>
      </c>
      <c r="B19" s="1" t="s">
        <v>123</v>
      </c>
      <c r="C19" s="1" t="s">
        <v>19</v>
      </c>
      <c r="D19" s="1" t="s">
        <v>31</v>
      </c>
      <c r="E19" s="1" t="s">
        <v>21</v>
      </c>
      <c r="F19">
        <v>6333</v>
      </c>
      <c r="G19" s="8" t="s">
        <v>124</v>
      </c>
      <c r="H19" s="1" t="s">
        <v>125</v>
      </c>
      <c r="I19" s="1" t="s">
        <v>126</v>
      </c>
      <c r="J19" s="1" t="s">
        <v>25</v>
      </c>
      <c r="K19" s="2">
        <v>42878</v>
      </c>
      <c r="L19" s="2">
        <v>45043</v>
      </c>
      <c r="M19" s="1" t="s">
        <v>127</v>
      </c>
      <c r="N19" s="1" t="s">
        <v>27</v>
      </c>
      <c r="O19" s="1" t="s">
        <v>28</v>
      </c>
      <c r="P19" s="2">
        <v>41275</v>
      </c>
      <c r="Q19" s="2"/>
      <c r="R19" s="6">
        <v>2185907</v>
      </c>
      <c r="S19" s="4" t="s">
        <v>204</v>
      </c>
      <c r="T19">
        <v>10921</v>
      </c>
      <c r="U19" s="7">
        <v>12823</v>
      </c>
    </row>
    <row r="20" spans="1:21" x14ac:dyDescent="0.35">
      <c r="A20" s="1" t="s">
        <v>128</v>
      </c>
      <c r="B20" s="1" t="s">
        <v>129</v>
      </c>
      <c r="C20" s="1" t="s">
        <v>19</v>
      </c>
      <c r="D20" s="1" t="s">
        <v>52</v>
      </c>
      <c r="E20" s="1" t="s">
        <v>21</v>
      </c>
      <c r="F20">
        <v>6295</v>
      </c>
      <c r="G20" s="8" t="s">
        <v>130</v>
      </c>
      <c r="H20" s="1" t="s">
        <v>131</v>
      </c>
      <c r="I20" s="1" t="s">
        <v>66</v>
      </c>
      <c r="J20" s="1" t="s">
        <v>25</v>
      </c>
      <c r="K20" s="2">
        <v>42888</v>
      </c>
      <c r="L20" s="2">
        <v>45530</v>
      </c>
      <c r="M20" s="1" t="s">
        <v>132</v>
      </c>
      <c r="N20" s="1" t="s">
        <v>27</v>
      </c>
      <c r="O20" s="1" t="s">
        <v>28</v>
      </c>
      <c r="P20" s="2">
        <v>35612</v>
      </c>
      <c r="Q20" s="2"/>
      <c r="R20" s="6">
        <v>7484912</v>
      </c>
      <c r="S20" s="4" t="s">
        <v>237</v>
      </c>
      <c r="T20">
        <v>5426</v>
      </c>
      <c r="U20" s="7">
        <v>22644</v>
      </c>
    </row>
    <row r="21" spans="1:21" x14ac:dyDescent="0.35">
      <c r="A21" s="1" t="s">
        <v>133</v>
      </c>
      <c r="B21" s="1" t="s">
        <v>134</v>
      </c>
      <c r="C21" s="1" t="s">
        <v>19</v>
      </c>
      <c r="D21" s="1" t="s">
        <v>52</v>
      </c>
      <c r="E21" s="1" t="s">
        <v>21</v>
      </c>
      <c r="F21">
        <v>6886</v>
      </c>
      <c r="G21" s="8" t="s">
        <v>135</v>
      </c>
      <c r="H21" s="1" t="s">
        <v>136</v>
      </c>
      <c r="I21" s="1" t="s">
        <v>137</v>
      </c>
      <c r="J21" s="1" t="s">
        <v>25</v>
      </c>
      <c r="K21" s="2">
        <v>42908</v>
      </c>
      <c r="L21" s="2">
        <v>45523</v>
      </c>
      <c r="M21" s="1" t="s">
        <v>138</v>
      </c>
      <c r="N21" s="1" t="s">
        <v>27</v>
      </c>
      <c r="O21" s="1" t="s">
        <v>28</v>
      </c>
      <c r="P21" s="2">
        <v>34700</v>
      </c>
      <c r="Q21" s="2"/>
      <c r="R21" s="6">
        <v>12141000</v>
      </c>
      <c r="S21" s="4" t="s">
        <v>204</v>
      </c>
      <c r="T21">
        <v>41607</v>
      </c>
      <c r="U21" s="7">
        <v>59212</v>
      </c>
    </row>
    <row r="22" spans="1:21" x14ac:dyDescent="0.35">
      <c r="A22" s="1" t="s">
        <v>139</v>
      </c>
      <c r="B22" s="1" t="s">
        <v>140</v>
      </c>
      <c r="C22" s="1" t="s">
        <v>19</v>
      </c>
      <c r="D22" s="1" t="s">
        <v>20</v>
      </c>
      <c r="E22" s="1" t="s">
        <v>21</v>
      </c>
      <c r="F22">
        <v>6217</v>
      </c>
      <c r="G22" s="8" t="s">
        <v>141</v>
      </c>
      <c r="H22" s="1" t="s">
        <v>142</v>
      </c>
      <c r="I22" s="1" t="s">
        <v>143</v>
      </c>
      <c r="J22" s="1" t="s">
        <v>25</v>
      </c>
      <c r="K22" s="2">
        <v>42878</v>
      </c>
      <c r="L22" s="2">
        <v>45371</v>
      </c>
      <c r="M22" s="1" t="s">
        <v>144</v>
      </c>
      <c r="N22" s="1" t="s">
        <v>27</v>
      </c>
      <c r="O22" s="1" t="s">
        <v>28</v>
      </c>
      <c r="P22" s="2">
        <v>35431</v>
      </c>
      <c r="Q22" s="2"/>
      <c r="R22" s="6">
        <v>5065559</v>
      </c>
      <c r="S22" s="4" t="s">
        <v>213</v>
      </c>
      <c r="T22">
        <v>1555051</v>
      </c>
      <c r="U22" s="7">
        <v>2153237</v>
      </c>
    </row>
    <row r="23" spans="1:21" x14ac:dyDescent="0.35">
      <c r="A23" s="1" t="s">
        <v>145</v>
      </c>
      <c r="B23" s="1" t="s">
        <v>146</v>
      </c>
      <c r="C23" s="1" t="s">
        <v>19</v>
      </c>
      <c r="D23" s="1" t="s">
        <v>31</v>
      </c>
      <c r="E23" s="1" t="s">
        <v>21</v>
      </c>
      <c r="F23">
        <v>6484</v>
      </c>
      <c r="G23" s="8" t="s">
        <v>147</v>
      </c>
      <c r="H23" s="1" t="s">
        <v>148</v>
      </c>
      <c r="I23" s="1" t="s">
        <v>143</v>
      </c>
      <c r="J23" s="1" t="s">
        <v>25</v>
      </c>
      <c r="K23" s="2">
        <v>42886</v>
      </c>
      <c r="L23" s="2">
        <v>45539</v>
      </c>
      <c r="M23" s="1" t="s">
        <v>149</v>
      </c>
      <c r="N23" s="1" t="s">
        <v>27</v>
      </c>
      <c r="O23" s="1" t="s">
        <v>28</v>
      </c>
      <c r="P23" s="2">
        <v>33421</v>
      </c>
      <c r="Q23" s="2"/>
      <c r="R23" s="24"/>
      <c r="S23" s="9"/>
      <c r="T23" s="9">
        <v>19248</v>
      </c>
      <c r="U23" s="21">
        <v>23277</v>
      </c>
    </row>
    <row r="24" spans="1:21" x14ac:dyDescent="0.35">
      <c r="A24" s="1" t="s">
        <v>150</v>
      </c>
      <c r="B24" s="1" t="s">
        <v>151</v>
      </c>
      <c r="C24" s="1" t="s">
        <v>19</v>
      </c>
      <c r="D24" s="1" t="s">
        <v>152</v>
      </c>
      <c r="E24" s="1" t="s">
        <v>21</v>
      </c>
      <c r="F24">
        <v>6526</v>
      </c>
      <c r="G24" s="8" t="s">
        <v>153</v>
      </c>
      <c r="H24" s="1" t="s">
        <v>154</v>
      </c>
      <c r="I24" s="1" t="s">
        <v>155</v>
      </c>
      <c r="J24" s="1" t="s">
        <v>25</v>
      </c>
      <c r="K24" s="2">
        <v>42878</v>
      </c>
      <c r="L24" s="2">
        <v>45831</v>
      </c>
      <c r="M24" s="1" t="s">
        <v>156</v>
      </c>
      <c r="N24" s="1" t="s">
        <v>27</v>
      </c>
      <c r="O24" s="1" t="s">
        <v>28</v>
      </c>
      <c r="P24" s="2">
        <v>34700</v>
      </c>
      <c r="Q24" s="2"/>
      <c r="R24" s="6">
        <v>6139731</v>
      </c>
      <c r="S24" s="4" t="s">
        <v>204</v>
      </c>
      <c r="T24">
        <v>19942</v>
      </c>
      <c r="U24" s="7">
        <v>25674</v>
      </c>
    </row>
    <row r="25" spans="1:21" x14ac:dyDescent="0.35">
      <c r="A25" s="1" t="s">
        <v>157</v>
      </c>
      <c r="B25" s="1" t="s">
        <v>158</v>
      </c>
      <c r="C25" s="1" t="s">
        <v>19</v>
      </c>
      <c r="D25" s="1" t="s">
        <v>152</v>
      </c>
      <c r="E25" s="1" t="s">
        <v>21</v>
      </c>
      <c r="F25">
        <v>39418</v>
      </c>
      <c r="G25" s="8" t="s">
        <v>159</v>
      </c>
      <c r="H25" s="1" t="s">
        <v>160</v>
      </c>
      <c r="I25" s="1" t="s">
        <v>161</v>
      </c>
      <c r="J25" s="1" t="s">
        <v>25</v>
      </c>
      <c r="K25" s="2">
        <v>42892</v>
      </c>
      <c r="L25" s="2">
        <v>45740</v>
      </c>
      <c r="M25" s="1" t="s">
        <v>162</v>
      </c>
      <c r="N25" s="1" t="s">
        <v>27</v>
      </c>
      <c r="O25" s="1" t="s">
        <v>28</v>
      </c>
      <c r="P25" s="2">
        <v>33725</v>
      </c>
      <c r="Q25" s="2"/>
      <c r="R25" s="6" t="s">
        <v>242</v>
      </c>
      <c r="S25" s="4" t="s">
        <v>243</v>
      </c>
      <c r="T25">
        <v>18483</v>
      </c>
      <c r="U25" s="7">
        <v>23458</v>
      </c>
    </row>
    <row r="26" spans="1:21" x14ac:dyDescent="0.35">
      <c r="A26" s="1" t="s">
        <v>163</v>
      </c>
      <c r="B26" s="1" t="s">
        <v>164</v>
      </c>
      <c r="C26" s="1" t="s">
        <v>19</v>
      </c>
      <c r="D26" s="1" t="s">
        <v>52</v>
      </c>
      <c r="E26" s="1" t="s">
        <v>21</v>
      </c>
      <c r="F26">
        <v>6667</v>
      </c>
      <c r="G26" s="8" t="s">
        <v>165</v>
      </c>
      <c r="H26" s="1" t="s">
        <v>166</v>
      </c>
      <c r="I26" s="1" t="s">
        <v>167</v>
      </c>
      <c r="J26" s="1" t="s">
        <v>25</v>
      </c>
      <c r="K26" s="2">
        <v>42878</v>
      </c>
      <c r="L26" s="2">
        <v>45630</v>
      </c>
      <c r="M26" s="1" t="s">
        <v>26</v>
      </c>
      <c r="N26" s="1" t="s">
        <v>27</v>
      </c>
      <c r="O26" s="1" t="s">
        <v>28</v>
      </c>
      <c r="P26" s="2">
        <v>39083</v>
      </c>
      <c r="Q26" s="2"/>
      <c r="R26" s="6">
        <v>9330125</v>
      </c>
      <c r="S26" s="9"/>
      <c r="T26">
        <v>26700</v>
      </c>
      <c r="U26" s="7">
        <v>40805</v>
      </c>
    </row>
    <row r="27" spans="1:21" x14ac:dyDescent="0.35">
      <c r="A27" s="1" t="s">
        <v>168</v>
      </c>
      <c r="B27" s="1" t="s">
        <v>169</v>
      </c>
      <c r="C27" s="1" t="s">
        <v>19</v>
      </c>
      <c r="D27" s="1" t="s">
        <v>20</v>
      </c>
      <c r="E27" s="1" t="s">
        <v>21</v>
      </c>
      <c r="F27">
        <v>38855</v>
      </c>
      <c r="G27" s="8" t="s">
        <v>170</v>
      </c>
      <c r="H27" s="1" t="s">
        <v>171</v>
      </c>
      <c r="I27" s="1" t="s">
        <v>172</v>
      </c>
      <c r="J27" s="1" t="s">
        <v>25</v>
      </c>
      <c r="K27" s="2">
        <v>42872</v>
      </c>
      <c r="L27" s="2">
        <v>45071</v>
      </c>
      <c r="M27" s="1" t="s">
        <v>173</v>
      </c>
      <c r="N27" s="1" t="s">
        <v>27</v>
      </c>
      <c r="O27" s="1" t="s">
        <v>28</v>
      </c>
      <c r="P27" s="2">
        <v>33203</v>
      </c>
      <c r="Q27" s="2"/>
      <c r="R27" s="6">
        <v>7145993</v>
      </c>
      <c r="S27" s="4" t="s">
        <v>248</v>
      </c>
      <c r="T27">
        <v>27607</v>
      </c>
      <c r="U27" s="7">
        <v>34749</v>
      </c>
    </row>
    <row r="28" spans="1:21" x14ac:dyDescent="0.35">
      <c r="A28" s="1" t="s">
        <v>174</v>
      </c>
      <c r="B28" s="1" t="s">
        <v>175</v>
      </c>
      <c r="C28" s="1" t="s">
        <v>19</v>
      </c>
      <c r="D28" s="1" t="s">
        <v>20</v>
      </c>
      <c r="E28" s="1" t="s">
        <v>21</v>
      </c>
      <c r="F28">
        <v>39326</v>
      </c>
      <c r="G28" s="8" t="s">
        <v>176</v>
      </c>
      <c r="H28" s="1" t="s">
        <v>177</v>
      </c>
      <c r="I28" s="1" t="s">
        <v>137</v>
      </c>
      <c r="J28" s="1" t="s">
        <v>25</v>
      </c>
      <c r="K28" s="2">
        <v>42894</v>
      </c>
      <c r="L28" s="2">
        <v>43453</v>
      </c>
      <c r="M28" s="1" t="s">
        <v>178</v>
      </c>
      <c r="N28" s="1" t="s">
        <v>27</v>
      </c>
      <c r="O28" s="1" t="s">
        <v>28</v>
      </c>
      <c r="P28" s="2">
        <v>33239</v>
      </c>
      <c r="Q28" s="2"/>
      <c r="R28" s="24"/>
      <c r="S28" s="9"/>
      <c r="T28" s="9"/>
      <c r="U28" s="21"/>
    </row>
    <row r="29" spans="1:21" x14ac:dyDescent="0.35">
      <c r="A29" s="1" t="s">
        <v>179</v>
      </c>
      <c r="B29" s="1" t="s">
        <v>180</v>
      </c>
      <c r="C29" s="1" t="s">
        <v>19</v>
      </c>
      <c r="D29" s="1" t="s">
        <v>20</v>
      </c>
      <c r="E29" s="1" t="s">
        <v>21</v>
      </c>
      <c r="F29">
        <v>39261</v>
      </c>
      <c r="G29" s="8" t="s">
        <v>181</v>
      </c>
      <c r="H29" s="1" t="s">
        <v>182</v>
      </c>
      <c r="I29" s="1" t="s">
        <v>183</v>
      </c>
      <c r="J29" s="1" t="s">
        <v>25</v>
      </c>
      <c r="K29" s="2">
        <v>42906</v>
      </c>
      <c r="L29" s="2">
        <v>45000</v>
      </c>
      <c r="M29" s="1" t="s">
        <v>184</v>
      </c>
      <c r="N29" s="1" t="s">
        <v>27</v>
      </c>
      <c r="O29" s="1" t="s">
        <v>28</v>
      </c>
      <c r="P29" s="2">
        <v>34943</v>
      </c>
      <c r="Q29" s="2"/>
      <c r="R29" s="6" t="s">
        <v>250</v>
      </c>
      <c r="S29" s="4" t="s">
        <v>251</v>
      </c>
      <c r="T29">
        <v>11363</v>
      </c>
      <c r="U29" s="7">
        <v>13750</v>
      </c>
    </row>
    <row r="30" spans="1:21" x14ac:dyDescent="0.35">
      <c r="A30" s="1" t="s">
        <v>185</v>
      </c>
      <c r="B30" s="1" t="s">
        <v>186</v>
      </c>
      <c r="C30" s="1" t="s">
        <v>19</v>
      </c>
      <c r="D30" s="1" t="s">
        <v>20</v>
      </c>
      <c r="E30" s="1" t="s">
        <v>21</v>
      </c>
      <c r="F30">
        <v>6618</v>
      </c>
      <c r="G30" s="8" t="s">
        <v>187</v>
      </c>
      <c r="H30" s="1" t="s">
        <v>188</v>
      </c>
      <c r="I30" s="1" t="s">
        <v>143</v>
      </c>
      <c r="J30" s="1" t="s">
        <v>25</v>
      </c>
      <c r="K30" s="2">
        <v>42877</v>
      </c>
      <c r="L30" s="2">
        <v>45371</v>
      </c>
      <c r="M30" s="1" t="s">
        <v>189</v>
      </c>
      <c r="N30" s="1" t="s">
        <v>27</v>
      </c>
      <c r="O30" s="1" t="s">
        <v>28</v>
      </c>
      <c r="P30" s="2">
        <v>34700</v>
      </c>
      <c r="Q30" s="2"/>
      <c r="R30" s="6">
        <v>3708076</v>
      </c>
      <c r="T30">
        <v>20094</v>
      </c>
      <c r="U30" s="7">
        <v>24583</v>
      </c>
    </row>
    <row r="31" spans="1:21" x14ac:dyDescent="0.35">
      <c r="A31" s="1" t="s">
        <v>190</v>
      </c>
      <c r="B31" s="1" t="s">
        <v>191</v>
      </c>
      <c r="C31" s="1" t="s">
        <v>19</v>
      </c>
      <c r="D31" s="1" t="s">
        <v>52</v>
      </c>
      <c r="E31" s="1" t="s">
        <v>21</v>
      </c>
      <c r="F31">
        <v>6184</v>
      </c>
      <c r="G31" s="8" t="s">
        <v>69</v>
      </c>
      <c r="H31" s="1" t="s">
        <v>70</v>
      </c>
      <c r="I31" s="1" t="s">
        <v>71</v>
      </c>
      <c r="J31" s="1" t="s">
        <v>25</v>
      </c>
      <c r="K31" s="2">
        <v>42879</v>
      </c>
      <c r="L31" s="2">
        <v>44747</v>
      </c>
      <c r="M31" s="1" t="s">
        <v>26</v>
      </c>
      <c r="N31" s="1" t="s">
        <v>27</v>
      </c>
      <c r="O31" s="1" t="s">
        <v>28</v>
      </c>
      <c r="P31" s="2">
        <v>40909</v>
      </c>
      <c r="Q31" s="2"/>
      <c r="R31" s="6">
        <v>9607935</v>
      </c>
      <c r="S31" s="4" t="s">
        <v>255</v>
      </c>
      <c r="T31">
        <v>53774</v>
      </c>
      <c r="U31" s="7">
        <v>65748</v>
      </c>
    </row>
    <row r="32" spans="1:21" x14ac:dyDescent="0.35">
      <c r="A32" s="1" t="s">
        <v>192</v>
      </c>
      <c r="B32" s="1" t="s">
        <v>193</v>
      </c>
      <c r="C32" s="1" t="s">
        <v>19</v>
      </c>
      <c r="D32" s="1" t="s">
        <v>20</v>
      </c>
      <c r="E32" s="1" t="s">
        <v>21</v>
      </c>
      <c r="F32">
        <v>39218</v>
      </c>
      <c r="G32" s="8" t="s">
        <v>194</v>
      </c>
      <c r="H32" s="1" t="s">
        <v>195</v>
      </c>
      <c r="I32" s="1" t="s">
        <v>196</v>
      </c>
      <c r="J32" s="1" t="s">
        <v>25</v>
      </c>
      <c r="K32" s="2">
        <v>42877</v>
      </c>
      <c r="L32" s="2">
        <v>43453</v>
      </c>
      <c r="M32" s="1" t="s">
        <v>197</v>
      </c>
      <c r="N32" s="1" t="s">
        <v>27</v>
      </c>
      <c r="O32" s="1" t="s">
        <v>28</v>
      </c>
      <c r="P32" s="2">
        <v>34608</v>
      </c>
      <c r="Q32" s="2"/>
      <c r="R32" s="24"/>
      <c r="S32" s="9"/>
      <c r="T32" s="9"/>
      <c r="U32" s="21"/>
    </row>
    <row r="33" spans="1:21" x14ac:dyDescent="0.35">
      <c r="A33" s="1" t="s">
        <v>198</v>
      </c>
      <c r="B33" s="1" t="s">
        <v>199</v>
      </c>
      <c r="C33" s="1" t="s">
        <v>19</v>
      </c>
      <c r="D33" s="1" t="s">
        <v>20</v>
      </c>
      <c r="E33" s="1" t="s">
        <v>21</v>
      </c>
      <c r="F33">
        <v>6749</v>
      </c>
      <c r="G33" s="8" t="s">
        <v>81</v>
      </c>
      <c r="H33" s="1" t="s">
        <v>200</v>
      </c>
      <c r="I33" s="1" t="s">
        <v>126</v>
      </c>
      <c r="J33" s="1" t="s">
        <v>25</v>
      </c>
      <c r="K33" s="2">
        <v>42898</v>
      </c>
      <c r="L33" s="2">
        <v>44867</v>
      </c>
      <c r="M33" s="1" t="s">
        <v>26</v>
      </c>
      <c r="N33" s="1" t="s">
        <v>42</v>
      </c>
      <c r="O33" s="1" t="s">
        <v>28</v>
      </c>
      <c r="P33" s="2">
        <v>34090</v>
      </c>
      <c r="Q33" s="2"/>
      <c r="R33" s="24"/>
      <c r="S33" s="9"/>
      <c r="T33" s="9"/>
      <c r="U33" s="21"/>
    </row>
    <row r="34" spans="1:21" x14ac:dyDescent="0.35">
      <c r="A34" s="1" t="s">
        <v>201</v>
      </c>
      <c r="B34" s="1" t="s">
        <v>202</v>
      </c>
      <c r="C34" s="1" t="s">
        <v>19</v>
      </c>
      <c r="D34" s="1" t="s">
        <v>52</v>
      </c>
      <c r="E34" s="1" t="s">
        <v>21</v>
      </c>
      <c r="F34">
        <v>6258</v>
      </c>
      <c r="G34" s="8" t="s">
        <v>38</v>
      </c>
      <c r="H34" s="1" t="s">
        <v>203</v>
      </c>
      <c r="I34" s="1" t="s">
        <v>40</v>
      </c>
      <c r="J34" s="1" t="s">
        <v>25</v>
      </c>
      <c r="K34" s="2">
        <v>44489</v>
      </c>
      <c r="L34" s="2">
        <v>44914</v>
      </c>
      <c r="M34" s="1" t="s">
        <v>41</v>
      </c>
      <c r="N34" s="1" t="s">
        <v>42</v>
      </c>
      <c r="O34" s="1" t="s">
        <v>28</v>
      </c>
      <c r="P34" s="2">
        <v>44197</v>
      </c>
      <c r="Q34" s="2"/>
      <c r="R34" s="6">
        <v>16545000</v>
      </c>
      <c r="T34">
        <v>184</v>
      </c>
      <c r="U34" s="7" t="s">
        <v>259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47BF-3206-45B6-9344-860C113B192E}">
  <dimension ref="A1:F34"/>
  <sheetViews>
    <sheetView workbookViewId="0">
      <selection activeCell="B1" sqref="B1:E1048576"/>
    </sheetView>
  </sheetViews>
  <sheetFormatPr defaultRowHeight="14.5" x14ac:dyDescent="0.35"/>
  <cols>
    <col min="1" max="1" width="19" style="18" customWidth="1"/>
    <col min="2" max="2" width="27" style="6" customWidth="1"/>
    <col min="3" max="3" width="14.54296875" customWidth="1"/>
    <col min="4" max="4" width="18.08984375" customWidth="1"/>
    <col min="5" max="5" width="15.7265625" style="7" customWidth="1"/>
  </cols>
  <sheetData>
    <row r="1" spans="1:6" x14ac:dyDescent="0.35">
      <c r="A1" s="15" t="s">
        <v>0</v>
      </c>
      <c r="B1" s="6" t="s">
        <v>214</v>
      </c>
      <c r="C1" s="3" t="s">
        <v>205</v>
      </c>
      <c r="D1" t="s">
        <v>212</v>
      </c>
      <c r="E1" s="7" t="s">
        <v>207</v>
      </c>
      <c r="F1" t="s">
        <v>217</v>
      </c>
    </row>
    <row r="2" spans="1:6" s="4" customFormat="1" x14ac:dyDescent="0.35">
      <c r="A2" s="16" t="s">
        <v>17</v>
      </c>
      <c r="B2" s="6">
        <v>3257928</v>
      </c>
      <c r="C2" s="4" t="s">
        <v>204</v>
      </c>
      <c r="D2" s="4">
        <v>6971</v>
      </c>
      <c r="E2" s="6">
        <v>22392</v>
      </c>
      <c r="F2" s="19" t="s">
        <v>225</v>
      </c>
    </row>
    <row r="3" spans="1:6" s="4" customFormat="1" x14ac:dyDescent="0.35">
      <c r="A3" s="17" t="s">
        <v>29</v>
      </c>
      <c r="B3" s="6">
        <v>14891433</v>
      </c>
      <c r="C3" s="4" t="s">
        <v>206</v>
      </c>
      <c r="D3" s="6">
        <v>57444</v>
      </c>
      <c r="E3" s="6">
        <v>79698</v>
      </c>
      <c r="F3" s="19" t="s">
        <v>224</v>
      </c>
    </row>
    <row r="4" spans="1:6" x14ac:dyDescent="0.35">
      <c r="A4" s="16" t="s">
        <v>36</v>
      </c>
      <c r="B4" s="6" t="s">
        <v>208</v>
      </c>
      <c r="C4" s="4" t="s">
        <v>208</v>
      </c>
      <c r="D4" s="4" t="s">
        <v>208</v>
      </c>
      <c r="E4" s="6" t="s">
        <v>208</v>
      </c>
    </row>
    <row r="5" spans="1:6" x14ac:dyDescent="0.35">
      <c r="A5" s="17" t="s">
        <v>44</v>
      </c>
      <c r="B5" s="6">
        <v>29666071</v>
      </c>
      <c r="C5" s="4" t="s">
        <v>209</v>
      </c>
      <c r="D5">
        <f>171724+295+6</f>
        <v>172025</v>
      </c>
      <c r="E5" s="7">
        <v>226767</v>
      </c>
      <c r="F5" s="14" t="s">
        <v>223</v>
      </c>
    </row>
    <row r="6" spans="1:6" x14ac:dyDescent="0.35">
      <c r="A6" s="16" t="s">
        <v>50</v>
      </c>
      <c r="B6" s="6">
        <v>7090223</v>
      </c>
      <c r="C6" s="5" t="s">
        <v>210</v>
      </c>
      <c r="D6">
        <v>29395</v>
      </c>
      <c r="E6" s="7">
        <v>40908</v>
      </c>
      <c r="F6" s="14" t="s">
        <v>222</v>
      </c>
    </row>
    <row r="7" spans="1:6" x14ac:dyDescent="0.35">
      <c r="A7" s="17" t="s">
        <v>56</v>
      </c>
      <c r="B7" s="6">
        <v>9048240</v>
      </c>
      <c r="C7" s="4" t="s">
        <v>211</v>
      </c>
      <c r="D7" s="9"/>
      <c r="E7" s="7">
        <v>14131</v>
      </c>
      <c r="F7" s="14" t="s">
        <v>221</v>
      </c>
    </row>
    <row r="8" spans="1:6" s="9" customFormat="1" x14ac:dyDescent="0.35">
      <c r="A8" s="22" t="s">
        <v>62</v>
      </c>
      <c r="B8" s="24"/>
      <c r="E8" s="21"/>
    </row>
    <row r="9" spans="1:6" x14ac:dyDescent="0.35">
      <c r="A9" s="17" t="s">
        <v>67</v>
      </c>
      <c r="B9" s="6">
        <v>889000000</v>
      </c>
      <c r="C9" s="4" t="s">
        <v>213</v>
      </c>
      <c r="D9">
        <f>1555045</f>
        <v>1555045</v>
      </c>
      <c r="E9" s="7">
        <v>2153237</v>
      </c>
      <c r="F9" s="14" t="s">
        <v>220</v>
      </c>
    </row>
    <row r="10" spans="1:6" x14ac:dyDescent="0.35">
      <c r="A10" s="16" t="s">
        <v>73</v>
      </c>
      <c r="B10" s="6">
        <v>45200000</v>
      </c>
      <c r="C10" s="4" t="s">
        <v>215</v>
      </c>
      <c r="D10">
        <v>170457</v>
      </c>
      <c r="E10" s="7">
        <v>248820</v>
      </c>
      <c r="F10" s="14" t="s">
        <v>219</v>
      </c>
    </row>
    <row r="11" spans="1:6" x14ac:dyDescent="0.35">
      <c r="A11" s="17" t="s">
        <v>79</v>
      </c>
      <c r="B11" s="6">
        <v>1898998</v>
      </c>
      <c r="C11" s="4" t="s">
        <v>216</v>
      </c>
      <c r="D11">
        <v>12044</v>
      </c>
      <c r="E11" s="7">
        <v>38316</v>
      </c>
      <c r="F11" s="14" t="s">
        <v>218</v>
      </c>
    </row>
    <row r="12" spans="1:6" x14ac:dyDescent="0.35">
      <c r="A12" s="16" t="s">
        <v>84</v>
      </c>
      <c r="B12" s="6">
        <v>3453717</v>
      </c>
      <c r="C12" s="4" t="s">
        <v>204</v>
      </c>
      <c r="D12">
        <v>21682</v>
      </c>
      <c r="E12" s="7">
        <v>29940</v>
      </c>
      <c r="F12" s="14" t="s">
        <v>226</v>
      </c>
    </row>
    <row r="13" spans="1:6" x14ac:dyDescent="0.35">
      <c r="A13" s="17" t="s">
        <v>90</v>
      </c>
      <c r="B13" s="6">
        <v>4315034</v>
      </c>
      <c r="C13" s="4" t="s">
        <v>227</v>
      </c>
      <c r="D13">
        <v>23362</v>
      </c>
      <c r="E13" s="7">
        <v>32869</v>
      </c>
      <c r="F13" s="14" t="s">
        <v>228</v>
      </c>
    </row>
    <row r="14" spans="1:6" x14ac:dyDescent="0.35">
      <c r="A14" s="16" t="s">
        <v>95</v>
      </c>
      <c r="B14" s="6">
        <v>30117854</v>
      </c>
      <c r="C14" s="4" t="s">
        <v>229</v>
      </c>
      <c r="D14">
        <v>22065</v>
      </c>
      <c r="E14" s="7">
        <v>33369</v>
      </c>
      <c r="F14" s="14" t="s">
        <v>230</v>
      </c>
    </row>
    <row r="15" spans="1:6" s="9" customFormat="1" x14ac:dyDescent="0.35">
      <c r="A15" s="20" t="s">
        <v>101</v>
      </c>
      <c r="B15" s="24"/>
      <c r="E15" s="21"/>
    </row>
    <row r="16" spans="1:6" x14ac:dyDescent="0.35">
      <c r="A16" s="16" t="s">
        <v>107</v>
      </c>
      <c r="B16" s="6">
        <v>6217391</v>
      </c>
      <c r="C16" s="4" t="s">
        <v>231</v>
      </c>
      <c r="D16">
        <v>17247</v>
      </c>
      <c r="E16" s="7">
        <v>23771</v>
      </c>
      <c r="F16" s="14" t="s">
        <v>232</v>
      </c>
    </row>
    <row r="17" spans="1:6" x14ac:dyDescent="0.35">
      <c r="A17" s="17" t="s">
        <v>112</v>
      </c>
      <c r="B17" s="6">
        <v>4230114</v>
      </c>
      <c r="C17" s="4" t="s">
        <v>234</v>
      </c>
      <c r="D17">
        <v>4895</v>
      </c>
      <c r="E17" s="7">
        <v>18747</v>
      </c>
      <c r="F17" s="14" t="s">
        <v>233</v>
      </c>
    </row>
    <row r="18" spans="1:6" x14ac:dyDescent="0.35">
      <c r="A18" s="16" t="s">
        <v>117</v>
      </c>
      <c r="B18" s="6">
        <v>1283994</v>
      </c>
      <c r="C18" s="9"/>
      <c r="D18">
        <v>4226</v>
      </c>
      <c r="E18" s="7">
        <v>5133</v>
      </c>
      <c r="F18" s="14" t="s">
        <v>235</v>
      </c>
    </row>
    <row r="19" spans="1:6" x14ac:dyDescent="0.35">
      <c r="A19" s="17" t="s">
        <v>122</v>
      </c>
      <c r="B19" s="6">
        <v>2185907</v>
      </c>
      <c r="C19" s="4" t="s">
        <v>204</v>
      </c>
      <c r="D19">
        <v>10921</v>
      </c>
      <c r="E19" s="7">
        <v>12823</v>
      </c>
      <c r="F19" s="14" t="s">
        <v>236</v>
      </c>
    </row>
    <row r="20" spans="1:6" x14ac:dyDescent="0.35">
      <c r="A20" s="16" t="s">
        <v>128</v>
      </c>
      <c r="B20" s="6">
        <v>7484912</v>
      </c>
      <c r="C20" s="4" t="s">
        <v>237</v>
      </c>
      <c r="D20">
        <v>5426</v>
      </c>
      <c r="E20" s="7">
        <v>22644</v>
      </c>
      <c r="F20" s="14" t="s">
        <v>239</v>
      </c>
    </row>
    <row r="21" spans="1:6" x14ac:dyDescent="0.35">
      <c r="A21" s="17" t="s">
        <v>133</v>
      </c>
      <c r="B21" s="6">
        <v>12141000</v>
      </c>
      <c r="C21" s="4" t="s">
        <v>204</v>
      </c>
      <c r="D21">
        <v>41607</v>
      </c>
      <c r="E21" s="7">
        <v>59212</v>
      </c>
      <c r="F21" s="14" t="s">
        <v>238</v>
      </c>
    </row>
    <row r="22" spans="1:6" x14ac:dyDescent="0.35">
      <c r="A22" s="16" t="s">
        <v>139</v>
      </c>
      <c r="B22" s="6">
        <v>5065559</v>
      </c>
      <c r="C22" s="4" t="s">
        <v>213</v>
      </c>
      <c r="D22">
        <v>1555051</v>
      </c>
      <c r="E22" s="7">
        <v>2153237</v>
      </c>
      <c r="F22" s="14" t="s">
        <v>240</v>
      </c>
    </row>
    <row r="23" spans="1:6" s="9" customFormat="1" x14ac:dyDescent="0.35">
      <c r="A23" s="20" t="s">
        <v>145</v>
      </c>
      <c r="B23" s="24"/>
      <c r="D23" s="9">
        <v>19248</v>
      </c>
      <c r="E23" s="21">
        <v>23277</v>
      </c>
      <c r="F23" s="23" t="s">
        <v>241</v>
      </c>
    </row>
    <row r="24" spans="1:6" x14ac:dyDescent="0.35">
      <c r="A24" s="16" t="s">
        <v>150</v>
      </c>
      <c r="B24" s="6">
        <v>6139731</v>
      </c>
      <c r="C24" s="4" t="s">
        <v>204</v>
      </c>
      <c r="D24">
        <v>19942</v>
      </c>
      <c r="E24" s="7">
        <v>25674</v>
      </c>
      <c r="F24" s="14" t="s">
        <v>245</v>
      </c>
    </row>
    <row r="25" spans="1:6" x14ac:dyDescent="0.35">
      <c r="A25" s="17" t="s">
        <v>157</v>
      </c>
      <c r="B25" s="6" t="s">
        <v>242</v>
      </c>
      <c r="C25" s="4" t="s">
        <v>243</v>
      </c>
      <c r="D25">
        <v>18483</v>
      </c>
      <c r="E25" s="7">
        <v>23458</v>
      </c>
      <c r="F25" s="14" t="s">
        <v>244</v>
      </c>
    </row>
    <row r="26" spans="1:6" x14ac:dyDescent="0.35">
      <c r="A26" s="16" t="s">
        <v>163</v>
      </c>
      <c r="B26" s="6">
        <v>9330125</v>
      </c>
      <c r="C26" s="9"/>
      <c r="D26">
        <v>26700</v>
      </c>
      <c r="E26" s="7">
        <v>40805</v>
      </c>
      <c r="F26" s="14" t="s">
        <v>246</v>
      </c>
    </row>
    <row r="27" spans="1:6" x14ac:dyDescent="0.35">
      <c r="A27" s="17" t="s">
        <v>168</v>
      </c>
      <c r="B27" s="6">
        <v>7145993</v>
      </c>
      <c r="C27" s="4" t="s">
        <v>248</v>
      </c>
      <c r="D27">
        <v>27607</v>
      </c>
      <c r="E27" s="7">
        <v>34749</v>
      </c>
      <c r="F27" s="14" t="s">
        <v>247</v>
      </c>
    </row>
    <row r="28" spans="1:6" s="9" customFormat="1" x14ac:dyDescent="0.35">
      <c r="A28" s="22" t="s">
        <v>174</v>
      </c>
      <c r="B28" s="24"/>
      <c r="E28" s="21"/>
      <c r="F28" s="23" t="s">
        <v>249</v>
      </c>
    </row>
    <row r="29" spans="1:6" x14ac:dyDescent="0.35">
      <c r="A29" s="17" t="s">
        <v>179</v>
      </c>
      <c r="B29" s="6" t="s">
        <v>250</v>
      </c>
      <c r="C29" s="4" t="s">
        <v>251</v>
      </c>
      <c r="D29">
        <v>11363</v>
      </c>
      <c r="E29" s="7">
        <v>13750</v>
      </c>
      <c r="F29" s="14" t="s">
        <v>252</v>
      </c>
    </row>
    <row r="30" spans="1:6" x14ac:dyDescent="0.35">
      <c r="A30" s="16" t="s">
        <v>185</v>
      </c>
      <c r="B30" s="6">
        <v>3708076</v>
      </c>
      <c r="D30">
        <v>20094</v>
      </c>
      <c r="E30" s="7">
        <v>24583</v>
      </c>
      <c r="F30" s="14" t="s">
        <v>253</v>
      </c>
    </row>
    <row r="31" spans="1:6" x14ac:dyDescent="0.35">
      <c r="A31" s="17" t="s">
        <v>190</v>
      </c>
      <c r="B31" s="6">
        <v>9607935</v>
      </c>
      <c r="C31" s="4" t="s">
        <v>255</v>
      </c>
      <c r="D31">
        <v>53774</v>
      </c>
      <c r="E31" s="7">
        <v>65748</v>
      </c>
      <c r="F31" s="14" t="s">
        <v>254</v>
      </c>
    </row>
    <row r="32" spans="1:6" s="9" customFormat="1" x14ac:dyDescent="0.35">
      <c r="A32" s="22" t="s">
        <v>192</v>
      </c>
      <c r="B32" s="24"/>
      <c r="E32" s="21"/>
      <c r="F32" s="14" t="s">
        <v>256</v>
      </c>
    </row>
    <row r="33" spans="1:6" s="9" customFormat="1" x14ac:dyDescent="0.35">
      <c r="A33" s="20" t="s">
        <v>198</v>
      </c>
      <c r="B33" s="24"/>
      <c r="E33" s="21"/>
      <c r="F33" s="23" t="s">
        <v>257</v>
      </c>
    </row>
    <row r="34" spans="1:6" x14ac:dyDescent="0.35">
      <c r="A34" s="16" t="s">
        <v>201</v>
      </c>
      <c r="B34" s="6">
        <v>16545000</v>
      </c>
      <c r="D34">
        <v>184</v>
      </c>
      <c r="E34" s="7" t="s">
        <v>259</v>
      </c>
      <c r="F34" s="14" t="s">
        <v>258</v>
      </c>
    </row>
  </sheetData>
  <hyperlinks>
    <hyperlink ref="F9" r:id="rId1" xr:uid="{3DBCC0E0-0E82-4DF5-93F3-8EC995F0C47F}"/>
    <hyperlink ref="F7" r:id="rId2" xr:uid="{77D98AE6-0ED5-465A-8217-26652AC8997C}"/>
    <hyperlink ref="F6" r:id="rId3" xr:uid="{A65CDF91-7CAA-435E-96F9-1DDD7D89BF2D}"/>
    <hyperlink ref="F5" r:id="rId4" xr:uid="{70C8729E-2375-4517-B11E-9563FF3EDC73}"/>
    <hyperlink ref="F3" r:id="rId5" xr:uid="{EF791BF0-FEE5-459F-847E-513079E6492A}"/>
    <hyperlink ref="F2" r:id="rId6" xr:uid="{D7DF47AC-32E4-40CE-8F64-6DC7FE929114}"/>
    <hyperlink ref="F10" r:id="rId7" xr:uid="{7BC94958-67F1-43AB-82AE-8585EB19805C}"/>
    <hyperlink ref="F11" r:id="rId8" xr:uid="{4A015310-A592-475C-97CB-F07FEBE87A4C}"/>
    <hyperlink ref="F12" r:id="rId9" xr:uid="{71538D8F-BF9A-49FA-BFAD-D6FA2AC577E3}"/>
    <hyperlink ref="F13" r:id="rId10" xr:uid="{B1755A1E-87CF-411C-A878-3BC5DB9DCA31}"/>
    <hyperlink ref="F14" r:id="rId11" xr:uid="{E70F4FE9-0B2C-46E2-996A-FE609FA0C45E}"/>
    <hyperlink ref="F16" r:id="rId12" xr:uid="{C955E63B-AF91-4824-953A-95635D110454}"/>
    <hyperlink ref="F17" r:id="rId13" xr:uid="{99B022C4-7E35-4B01-92FA-95D194F08D22}"/>
    <hyperlink ref="F18" r:id="rId14" xr:uid="{4DF03BAA-9D47-4607-A7B6-131F47099E01}"/>
    <hyperlink ref="F19" r:id="rId15" xr:uid="{AC3AE533-3BE1-4373-86C1-D95A5B58D91D}"/>
    <hyperlink ref="F21" r:id="rId16" xr:uid="{7459BE9B-3A0A-456F-AB18-BE4FE3C51447}"/>
    <hyperlink ref="F20" r:id="rId17" xr:uid="{46C074FE-D46B-48FB-9FCD-F99D9C2B6540}"/>
    <hyperlink ref="F22" r:id="rId18" xr:uid="{AA137082-7E9F-45BF-B765-27568DEF5F99}"/>
    <hyperlink ref="F23" r:id="rId19" xr:uid="{435097B8-68D3-42BF-8D5A-FFAD7101F6E4}"/>
    <hyperlink ref="F25" r:id="rId20" xr:uid="{5F105AD4-DD81-45AF-9387-6C881012BFD7}"/>
    <hyperlink ref="F24" r:id="rId21" xr:uid="{923F672B-33DE-446F-B078-62511BC78AFE}"/>
    <hyperlink ref="F26" r:id="rId22" location="accordion-708-205" xr:uid="{EB9756D5-F88E-48B8-8DAB-51D7692CCB36}"/>
    <hyperlink ref="F27" r:id="rId23" xr:uid="{B623C44F-AD94-4298-8897-EC4EC1C9A41B}"/>
    <hyperlink ref="F28" r:id="rId24" xr:uid="{40241D2C-50EB-4310-9937-69E6C6D835EE}"/>
    <hyperlink ref="F29" r:id="rId25" xr:uid="{A652F5A8-6DCF-441C-A7A1-231F73535C2E}"/>
    <hyperlink ref="F30" r:id="rId26" xr:uid="{0AAEAFB8-5CAA-479A-B742-2D72C22C79B3}"/>
    <hyperlink ref="F31" r:id="rId27" xr:uid="{83561F60-5706-4E8E-9174-43C93C8AEDBA}"/>
    <hyperlink ref="F32" r:id="rId28" xr:uid="{0D1D6CBE-2878-4157-805E-E39571A01BFE}"/>
    <hyperlink ref="F33" r:id="rId29" xr:uid="{FDBC6E12-E5C0-4498-AA3C-7B8D3AA45B08}"/>
    <hyperlink ref="F34" r:id="rId30" location="tabs-672cb3abd4-item-62198edbfc-tab" xr:uid="{BA2E7335-D6ED-41CD-91C7-BD4AD3F421E1}"/>
  </hyperlinks>
  <pageMargins left="0.7" right="0.7" top="0.75" bottom="0.75" header="0.3" footer="0.3"/>
  <pageSetup paperSize="9"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B39618-B885-42B9-BAB7-72F4E6ECC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OeffentlicheMarktakteure_Sachse</vt:lpstr>
      <vt:lpstr>2024</vt:lpstr>
    </vt:vector>
  </TitlesOfParts>
  <Company>Otto-von-Guericke-Universitaet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Bastos</dc:creator>
  <cp:lastModifiedBy>Natalia Bastos</cp:lastModifiedBy>
  <dcterms:created xsi:type="dcterms:W3CDTF">2025-10-28T15:18:15Z</dcterms:created>
  <dcterms:modified xsi:type="dcterms:W3CDTF">2026-02-02T15:39:05Z</dcterms:modified>
</cp:coreProperties>
</file>